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\Desktop\Подработка\Энергетик\ДТ\Журнал\"/>
    </mc:Choice>
  </mc:AlternateContent>
  <xr:revisionPtr revIDLastSave="0" documentId="13_ncr:1_{CFB76E82-6117-4651-A817-FFA1BAC06646}" xr6:coauthVersionLast="47" xr6:coauthVersionMax="47" xr10:uidLastSave="{00000000-0000-0000-0000-000000000000}"/>
  <bookViews>
    <workbookView xWindow="-108" yWindow="-108" windowWidth="23256" windowHeight="12576" firstSheet="10" activeTab="4" xr2:uid="{02184511-1072-4A33-9BB6-E322F2BB4F03}"/>
  </bookViews>
  <sheets>
    <sheet name="ПОДПИСИ" sheetId="52" r:id="rId1"/>
    <sheet name="Лист1" sheetId="67" r:id="rId2"/>
    <sheet name="Титул " sheetId="65" r:id="rId3"/>
    <sheet name="Жвх.к" sheetId="66" r:id="rId4"/>
    <sheet name="Жвх.к (т)" sheetId="51" r:id="rId5"/>
    <sheet name="Форма журнала" sheetId="46" r:id="rId6"/>
    <sheet name="АВК 3" sheetId="5" r:id="rId7"/>
    <sheet name="Титул (СМР и Рек.)" sheetId="6" state="hidden" r:id="rId8"/>
    <sheet name="Лист регистрации АВК по спец." sheetId="7" state="hidden" r:id="rId9"/>
    <sheet name="Лист регистрации АВК вне спец." sheetId="8" state="hidden" r:id="rId10"/>
    <sheet name="АВК 4" sheetId="54" r:id="rId11"/>
    <sheet name="АВК 5" sheetId="55" r:id="rId12"/>
    <sheet name="АВК 7" sheetId="53" r:id="rId13"/>
    <sheet name="АВК 8" sheetId="56" r:id="rId14"/>
    <sheet name="АВК 10" sheetId="57" r:id="rId15"/>
    <sheet name="АВК 11" sheetId="58" r:id="rId16"/>
    <sheet name="АВК 12" sheetId="59" r:id="rId17"/>
    <sheet name="АВК 13" sheetId="60" r:id="rId18"/>
    <sheet name="АВК 14" sheetId="68" r:id="rId19"/>
    <sheet name="АВК 15" sheetId="69" r:id="rId20"/>
    <sheet name="АВК 16" sheetId="70" r:id="rId21"/>
    <sheet name="Заполнение" sheetId="47" r:id="rId22"/>
    <sheet name="Образец" sheetId="48" r:id="rId23"/>
  </sheets>
  <definedNames>
    <definedName name="_xlnm._FilterDatabase" localSheetId="3" hidden="1">Жвх.к!$A$90:$M$153</definedName>
    <definedName name="_xlnm._FilterDatabase" localSheetId="5" hidden="1">'Форма журнала'!$B$1:$N$118</definedName>
    <definedName name="dews212" localSheetId="14">#REF!</definedName>
    <definedName name="dews212" localSheetId="15">#REF!</definedName>
    <definedName name="dews212" localSheetId="16">#REF!</definedName>
    <definedName name="dews212" localSheetId="17">#REF!</definedName>
    <definedName name="dews212" localSheetId="18">#REF!</definedName>
    <definedName name="dews212" localSheetId="19">#REF!</definedName>
    <definedName name="dews212" localSheetId="20">#REF!</definedName>
    <definedName name="dews212" localSheetId="11">#REF!</definedName>
    <definedName name="dews212" localSheetId="12">#REF!</definedName>
    <definedName name="dews212" localSheetId="13">#REF!</definedName>
    <definedName name="dews212">#REF!</definedName>
    <definedName name="Excel_BuiltIn_Print_Area_23" localSheetId="14">#REF!</definedName>
    <definedName name="Excel_BuiltIn_Print_Area_23" localSheetId="15">#REF!</definedName>
    <definedName name="Excel_BuiltIn_Print_Area_23" localSheetId="16">#REF!</definedName>
    <definedName name="Excel_BuiltIn_Print_Area_23" localSheetId="17">#REF!</definedName>
    <definedName name="Excel_BuiltIn_Print_Area_23" localSheetId="18">#REF!</definedName>
    <definedName name="Excel_BuiltIn_Print_Area_23" localSheetId="19">#REF!</definedName>
    <definedName name="Excel_BuiltIn_Print_Area_23" localSheetId="20">#REF!</definedName>
    <definedName name="Excel_BuiltIn_Print_Area_23" localSheetId="11">#REF!</definedName>
    <definedName name="Excel_BuiltIn_Print_Area_23" localSheetId="12">#REF!</definedName>
    <definedName name="Excel_BuiltIn_Print_Area_23" localSheetId="13">#REF!</definedName>
    <definedName name="Excel_BuiltIn_Print_Area_23">#REF!</definedName>
    <definedName name="Excel_BuiltIn_Print_Area_24" localSheetId="14">#REF!</definedName>
    <definedName name="Excel_BuiltIn_Print_Area_24" localSheetId="15">#REF!</definedName>
    <definedName name="Excel_BuiltIn_Print_Area_24" localSheetId="16">#REF!</definedName>
    <definedName name="Excel_BuiltIn_Print_Area_24" localSheetId="17">#REF!</definedName>
    <definedName name="Excel_BuiltIn_Print_Area_24" localSheetId="18">#REF!</definedName>
    <definedName name="Excel_BuiltIn_Print_Area_24" localSheetId="19">#REF!</definedName>
    <definedName name="Excel_BuiltIn_Print_Area_24" localSheetId="20">#REF!</definedName>
    <definedName name="Excel_BuiltIn_Print_Area_24" localSheetId="11">#REF!</definedName>
    <definedName name="Excel_BuiltIn_Print_Area_24" localSheetId="12">#REF!</definedName>
    <definedName name="Excel_BuiltIn_Print_Area_24" localSheetId="13">#REF!</definedName>
    <definedName name="Excel_BuiltIn_Print_Area_24">#REF!</definedName>
    <definedName name="Excel_BuiltIn_Print_Area_29" localSheetId="14">#REF!</definedName>
    <definedName name="Excel_BuiltIn_Print_Area_29" localSheetId="15">#REF!</definedName>
    <definedName name="Excel_BuiltIn_Print_Area_29" localSheetId="16">#REF!</definedName>
    <definedName name="Excel_BuiltIn_Print_Area_29" localSheetId="17">#REF!</definedName>
    <definedName name="Excel_BuiltIn_Print_Area_29" localSheetId="18">#REF!</definedName>
    <definedName name="Excel_BuiltIn_Print_Area_29" localSheetId="19">#REF!</definedName>
    <definedName name="Excel_BuiltIn_Print_Area_29" localSheetId="20">#REF!</definedName>
    <definedName name="Excel_BuiltIn_Print_Area_29" localSheetId="11">#REF!</definedName>
    <definedName name="Excel_BuiltIn_Print_Area_29" localSheetId="12">#REF!</definedName>
    <definedName name="Excel_BuiltIn_Print_Area_29" localSheetId="13">#REF!</definedName>
    <definedName name="Excel_BuiltIn_Print_Area_29">#REF!</definedName>
    <definedName name="qawdeds12321" localSheetId="14">#REF!</definedName>
    <definedName name="qawdeds12321" localSheetId="15">#REF!</definedName>
    <definedName name="qawdeds12321" localSheetId="16">#REF!</definedName>
    <definedName name="qawdeds12321" localSheetId="17">#REF!</definedName>
    <definedName name="qawdeds12321" localSheetId="18">#REF!</definedName>
    <definedName name="qawdeds12321" localSheetId="19">#REF!</definedName>
    <definedName name="qawdeds12321" localSheetId="20">#REF!</definedName>
    <definedName name="qawdeds12321" localSheetId="11">#REF!</definedName>
    <definedName name="qawdeds12321" localSheetId="12">#REF!</definedName>
    <definedName name="qawdeds12321" localSheetId="13">#REF!</definedName>
    <definedName name="qawdeds12321">#REF!</definedName>
    <definedName name="а" localSheetId="14">#REF!</definedName>
    <definedName name="а" localSheetId="15">#REF!</definedName>
    <definedName name="а" localSheetId="16">#REF!</definedName>
    <definedName name="а" localSheetId="17">#REF!</definedName>
    <definedName name="а" localSheetId="18">#REF!</definedName>
    <definedName name="а" localSheetId="19">#REF!</definedName>
    <definedName name="а" localSheetId="20">#REF!</definedName>
    <definedName name="а" localSheetId="11">#REF!</definedName>
    <definedName name="а" localSheetId="12">#REF!</definedName>
    <definedName name="а" localSheetId="13">#REF!</definedName>
    <definedName name="а">#REF!</definedName>
    <definedName name="А27" localSheetId="14">#REF!</definedName>
    <definedName name="А27" localSheetId="15">#REF!</definedName>
    <definedName name="А27" localSheetId="16">#REF!</definedName>
    <definedName name="А27" localSheetId="17">#REF!</definedName>
    <definedName name="А27" localSheetId="18">#REF!</definedName>
    <definedName name="А27" localSheetId="19">#REF!</definedName>
    <definedName name="А27" localSheetId="20">#REF!</definedName>
    <definedName name="А27" localSheetId="11">#REF!</definedName>
    <definedName name="А27" localSheetId="12">#REF!</definedName>
    <definedName name="А27" localSheetId="13">#REF!</definedName>
    <definedName name="А27">#REF!</definedName>
    <definedName name="авпр45е3" localSheetId="14">#REF!</definedName>
    <definedName name="авпр45е3" localSheetId="15">#REF!</definedName>
    <definedName name="авпр45е3" localSheetId="16">#REF!</definedName>
    <definedName name="авпр45е3" localSheetId="17">#REF!</definedName>
    <definedName name="авпр45е3" localSheetId="18">#REF!</definedName>
    <definedName name="авпр45е3" localSheetId="19">#REF!</definedName>
    <definedName name="авпр45е3" localSheetId="20">#REF!</definedName>
    <definedName name="авпр45е3" localSheetId="11">#REF!</definedName>
    <definedName name="авпр45е3" localSheetId="12">#REF!</definedName>
    <definedName name="авпр45е3" localSheetId="13">#REF!</definedName>
    <definedName name="авпр45е3">#REF!</definedName>
    <definedName name="АОК1" localSheetId="14">#REF!</definedName>
    <definedName name="АОК1" localSheetId="15">#REF!</definedName>
    <definedName name="АОК1" localSheetId="16">#REF!</definedName>
    <definedName name="АОК1" localSheetId="17">#REF!</definedName>
    <definedName name="АОК1" localSheetId="18">#REF!</definedName>
    <definedName name="АОК1" localSheetId="19">#REF!</definedName>
    <definedName name="АОК1" localSheetId="20">#REF!</definedName>
    <definedName name="АОК1" localSheetId="11">#REF!</definedName>
    <definedName name="АОК1" localSheetId="12">#REF!</definedName>
    <definedName name="АОК1" localSheetId="13">#REF!</definedName>
    <definedName name="АОК1">#REF!</definedName>
    <definedName name="АОСР1копия" localSheetId="14">#REF!</definedName>
    <definedName name="АОСР1копия" localSheetId="15">#REF!</definedName>
    <definedName name="АОСР1копия" localSheetId="16">#REF!</definedName>
    <definedName name="АОСР1копия" localSheetId="17">#REF!</definedName>
    <definedName name="АОСР1копия" localSheetId="18">#REF!</definedName>
    <definedName name="АОСР1копия" localSheetId="19">#REF!</definedName>
    <definedName name="АОСР1копия" localSheetId="20">#REF!</definedName>
    <definedName name="АОСР1копия" localSheetId="11">#REF!</definedName>
    <definedName name="АОСР1копия" localSheetId="12">#REF!</definedName>
    <definedName name="АОСР1копия" localSheetId="13">#REF!</definedName>
    <definedName name="АОСР1копия">#REF!</definedName>
    <definedName name="апапап" localSheetId="14">#REF!</definedName>
    <definedName name="апапап" localSheetId="15">#REF!</definedName>
    <definedName name="апапап" localSheetId="16">#REF!</definedName>
    <definedName name="апапап" localSheetId="17">#REF!</definedName>
    <definedName name="апапап" localSheetId="18">#REF!</definedName>
    <definedName name="апапап" localSheetId="19">#REF!</definedName>
    <definedName name="апапап" localSheetId="20">#REF!</definedName>
    <definedName name="апапап" localSheetId="11">#REF!</definedName>
    <definedName name="апапап" localSheetId="12">#REF!</definedName>
    <definedName name="апапап" localSheetId="13">#REF!</definedName>
    <definedName name="апапап">#REF!</definedName>
    <definedName name="АРТ" localSheetId="14">#REF!</definedName>
    <definedName name="АРТ" localSheetId="15">#REF!</definedName>
    <definedName name="АРТ" localSheetId="16">#REF!</definedName>
    <definedName name="АРТ" localSheetId="17">#REF!</definedName>
    <definedName name="АРТ" localSheetId="18">#REF!</definedName>
    <definedName name="АРТ" localSheetId="19">#REF!</definedName>
    <definedName name="АРТ" localSheetId="20">#REF!</definedName>
    <definedName name="АРТ" localSheetId="11">#REF!</definedName>
    <definedName name="АРТ" localSheetId="12">#REF!</definedName>
    <definedName name="АРТ" localSheetId="13">#REF!</definedName>
    <definedName name="АРТ">#REF!</definedName>
    <definedName name="б" localSheetId="14">#REF!</definedName>
    <definedName name="б" localSheetId="15">#REF!</definedName>
    <definedName name="б" localSheetId="16">#REF!</definedName>
    <definedName name="б" localSheetId="17">#REF!</definedName>
    <definedName name="б" localSheetId="18">#REF!</definedName>
    <definedName name="б" localSheetId="19">#REF!</definedName>
    <definedName name="б" localSheetId="20">#REF!</definedName>
    <definedName name="б" localSheetId="11">#REF!</definedName>
    <definedName name="б" localSheetId="12">#REF!</definedName>
    <definedName name="б" localSheetId="13">#REF!</definedName>
    <definedName name="б">#REF!</definedName>
    <definedName name="в" localSheetId="14">#REF!</definedName>
    <definedName name="в" localSheetId="15">#REF!</definedName>
    <definedName name="в" localSheetId="16">#REF!</definedName>
    <definedName name="в" localSheetId="17">#REF!</definedName>
    <definedName name="в" localSheetId="18">#REF!</definedName>
    <definedName name="в" localSheetId="19">#REF!</definedName>
    <definedName name="в" localSheetId="20">#REF!</definedName>
    <definedName name="в" localSheetId="11">#REF!</definedName>
    <definedName name="в" localSheetId="12">#REF!</definedName>
    <definedName name="в" localSheetId="13">#REF!</definedName>
    <definedName name="в">#REF!</definedName>
    <definedName name="ввр" localSheetId="14">#REF!</definedName>
    <definedName name="ввр" localSheetId="15">#REF!</definedName>
    <definedName name="ввр" localSheetId="16">#REF!</definedName>
    <definedName name="ввр" localSheetId="17">#REF!</definedName>
    <definedName name="ввр" localSheetId="18">#REF!</definedName>
    <definedName name="ввр" localSheetId="19">#REF!</definedName>
    <definedName name="ввр" localSheetId="20">#REF!</definedName>
    <definedName name="ввр" localSheetId="11">#REF!</definedName>
    <definedName name="ввр" localSheetId="12">#REF!</definedName>
    <definedName name="ввр" localSheetId="13">#REF!</definedName>
    <definedName name="ввр">#REF!</definedName>
    <definedName name="вкарка44" localSheetId="14">#REF!</definedName>
    <definedName name="вкарка44" localSheetId="15">#REF!</definedName>
    <definedName name="вкарка44" localSheetId="16">#REF!</definedName>
    <definedName name="вкарка44" localSheetId="17">#REF!</definedName>
    <definedName name="вкарка44" localSheetId="18">#REF!</definedName>
    <definedName name="вкарка44" localSheetId="19">#REF!</definedName>
    <definedName name="вкарка44" localSheetId="20">#REF!</definedName>
    <definedName name="вкарка44" localSheetId="11">#REF!</definedName>
    <definedName name="вкарка44" localSheetId="12">#REF!</definedName>
    <definedName name="вкарка44" localSheetId="13">#REF!</definedName>
    <definedName name="вкарка44">#REF!</definedName>
    <definedName name="выв" localSheetId="14">#REF!</definedName>
    <definedName name="выв" localSheetId="15">#REF!</definedName>
    <definedName name="выв" localSheetId="16">#REF!</definedName>
    <definedName name="выв" localSheetId="17">#REF!</definedName>
    <definedName name="выв" localSheetId="18">#REF!</definedName>
    <definedName name="выв" localSheetId="19">#REF!</definedName>
    <definedName name="выв" localSheetId="20">#REF!</definedName>
    <definedName name="выв" localSheetId="11">#REF!</definedName>
    <definedName name="выв" localSheetId="12">#REF!</definedName>
    <definedName name="выв" localSheetId="13">#REF!</definedName>
    <definedName name="выв">#REF!</definedName>
    <definedName name="вякр" localSheetId="14">#REF!</definedName>
    <definedName name="вякр" localSheetId="15">#REF!</definedName>
    <definedName name="вякр" localSheetId="16">#REF!</definedName>
    <definedName name="вякр" localSheetId="17">#REF!</definedName>
    <definedName name="вякр" localSheetId="18">#REF!</definedName>
    <definedName name="вякр" localSheetId="19">#REF!</definedName>
    <definedName name="вякр" localSheetId="20">#REF!</definedName>
    <definedName name="вякр" localSheetId="11">#REF!</definedName>
    <definedName name="вякр" localSheetId="12">#REF!</definedName>
    <definedName name="вякр" localSheetId="13">#REF!</definedName>
    <definedName name="вякр">#REF!</definedName>
    <definedName name="г" localSheetId="14">#REF!</definedName>
    <definedName name="г" localSheetId="15">#REF!</definedName>
    <definedName name="г" localSheetId="16">#REF!</definedName>
    <definedName name="г" localSheetId="17">#REF!</definedName>
    <definedName name="г" localSheetId="18">#REF!</definedName>
    <definedName name="г" localSheetId="19">#REF!</definedName>
    <definedName name="г" localSheetId="20">#REF!</definedName>
    <definedName name="г" localSheetId="11">#REF!</definedName>
    <definedName name="г" localSheetId="12">#REF!</definedName>
    <definedName name="г" localSheetId="13">#REF!</definedName>
    <definedName name="г">#REF!</definedName>
    <definedName name="д" localSheetId="14">#REF!</definedName>
    <definedName name="д" localSheetId="15">#REF!</definedName>
    <definedName name="д" localSheetId="16">#REF!</definedName>
    <definedName name="д" localSheetId="17">#REF!</definedName>
    <definedName name="д" localSheetId="18">#REF!</definedName>
    <definedName name="д" localSheetId="19">#REF!</definedName>
    <definedName name="д" localSheetId="20">#REF!</definedName>
    <definedName name="д" localSheetId="11">#REF!</definedName>
    <definedName name="д" localSheetId="12">#REF!</definedName>
    <definedName name="д" localSheetId="13">#REF!</definedName>
    <definedName name="д">#REF!</definedName>
    <definedName name="е" localSheetId="14">#REF!</definedName>
    <definedName name="е" localSheetId="15">#REF!</definedName>
    <definedName name="е" localSheetId="16">#REF!</definedName>
    <definedName name="е" localSheetId="17">#REF!</definedName>
    <definedName name="е" localSheetId="18">#REF!</definedName>
    <definedName name="е" localSheetId="19">#REF!</definedName>
    <definedName name="е" localSheetId="20">#REF!</definedName>
    <definedName name="е" localSheetId="11">#REF!</definedName>
    <definedName name="е" localSheetId="12">#REF!</definedName>
    <definedName name="е" localSheetId="13">#REF!</definedName>
    <definedName name="е">#REF!</definedName>
    <definedName name="ж" localSheetId="14">#REF!</definedName>
    <definedName name="ж" localSheetId="15">#REF!</definedName>
    <definedName name="ж" localSheetId="16">#REF!</definedName>
    <definedName name="ж" localSheetId="17">#REF!</definedName>
    <definedName name="ж" localSheetId="18">#REF!</definedName>
    <definedName name="ж" localSheetId="19">#REF!</definedName>
    <definedName name="ж" localSheetId="20">#REF!</definedName>
    <definedName name="ж" localSheetId="11">#REF!</definedName>
    <definedName name="ж" localSheetId="12">#REF!</definedName>
    <definedName name="ж" localSheetId="13">#REF!</definedName>
    <definedName name="ж">#REF!</definedName>
    <definedName name="Журнал" localSheetId="14">#REF!</definedName>
    <definedName name="Журнал" localSheetId="15">#REF!</definedName>
    <definedName name="Журнал" localSheetId="16">#REF!</definedName>
    <definedName name="Журнал" localSheetId="17">#REF!</definedName>
    <definedName name="Журнал" localSheetId="18">#REF!</definedName>
    <definedName name="Журнал" localSheetId="19">#REF!</definedName>
    <definedName name="Журнал" localSheetId="20">#REF!</definedName>
    <definedName name="Журнал" localSheetId="11">#REF!</definedName>
    <definedName name="Журнал" localSheetId="12">#REF!</definedName>
    <definedName name="Журнал" localSheetId="13">#REF!</definedName>
    <definedName name="Журнал" localSheetId="9">#REF!</definedName>
    <definedName name="Журнал" localSheetId="8">#REF!</definedName>
    <definedName name="Журнал" localSheetId="7">#REF!</definedName>
    <definedName name="Журнал">#REF!</definedName>
    <definedName name="журналл" localSheetId="14">#REF!</definedName>
    <definedName name="журналл" localSheetId="15">#REF!</definedName>
    <definedName name="журналл" localSheetId="16">#REF!</definedName>
    <definedName name="журналл" localSheetId="17">#REF!</definedName>
    <definedName name="журналл" localSheetId="18">#REF!</definedName>
    <definedName name="журналл" localSheetId="19">#REF!</definedName>
    <definedName name="журналл" localSheetId="20">#REF!</definedName>
    <definedName name="журналл" localSheetId="11">#REF!</definedName>
    <definedName name="журналл" localSheetId="12">#REF!</definedName>
    <definedName name="журналл" localSheetId="13">#REF!</definedName>
    <definedName name="журналл">#REF!</definedName>
    <definedName name="з" localSheetId="14">#REF!</definedName>
    <definedName name="з" localSheetId="15">#REF!</definedName>
    <definedName name="з" localSheetId="16">#REF!</definedName>
    <definedName name="з" localSheetId="17">#REF!</definedName>
    <definedName name="з" localSheetId="18">#REF!</definedName>
    <definedName name="з" localSheetId="19">#REF!</definedName>
    <definedName name="з" localSheetId="20">#REF!</definedName>
    <definedName name="з" localSheetId="11">#REF!</definedName>
    <definedName name="з" localSheetId="12">#REF!</definedName>
    <definedName name="з" localSheetId="13">#REF!</definedName>
    <definedName name="з">#REF!</definedName>
    <definedName name="_xlnm.Print_Titles" localSheetId="3">Жвх.к!$1:$2</definedName>
    <definedName name="и" localSheetId="14">#REF!</definedName>
    <definedName name="и" localSheetId="15">#REF!</definedName>
    <definedName name="и" localSheetId="16">#REF!</definedName>
    <definedName name="и" localSheetId="17">#REF!</definedName>
    <definedName name="и" localSheetId="18">#REF!</definedName>
    <definedName name="и" localSheetId="19">#REF!</definedName>
    <definedName name="и" localSheetId="20">#REF!</definedName>
    <definedName name="и" localSheetId="11">#REF!</definedName>
    <definedName name="и" localSheetId="12">#REF!</definedName>
    <definedName name="и" localSheetId="13">#REF!</definedName>
    <definedName name="и">#REF!</definedName>
    <definedName name="ИмяГенПодряд">#REF!</definedName>
    <definedName name="ИмяЗаказчика">#REF!</definedName>
    <definedName name="йацука2" localSheetId="14">#REF!</definedName>
    <definedName name="йацука2" localSheetId="15">#REF!</definedName>
    <definedName name="йацука2" localSheetId="16">#REF!</definedName>
    <definedName name="йацука2" localSheetId="17">#REF!</definedName>
    <definedName name="йацука2" localSheetId="18">#REF!</definedName>
    <definedName name="йацука2" localSheetId="19">#REF!</definedName>
    <definedName name="йацука2" localSheetId="20">#REF!</definedName>
    <definedName name="йацука2" localSheetId="11">#REF!</definedName>
    <definedName name="йацука2" localSheetId="12">#REF!</definedName>
    <definedName name="йацука2" localSheetId="13">#REF!</definedName>
    <definedName name="йацука2">#REF!</definedName>
    <definedName name="к" localSheetId="14">#REF!</definedName>
    <definedName name="к" localSheetId="15">#REF!</definedName>
    <definedName name="к" localSheetId="16">#REF!</definedName>
    <definedName name="к" localSheetId="17">#REF!</definedName>
    <definedName name="к" localSheetId="18">#REF!</definedName>
    <definedName name="к" localSheetId="19">#REF!</definedName>
    <definedName name="к" localSheetId="20">#REF!</definedName>
    <definedName name="к" localSheetId="11">#REF!</definedName>
    <definedName name="к" localSheetId="12">#REF!</definedName>
    <definedName name="к" localSheetId="13">#REF!</definedName>
    <definedName name="к">#REF!</definedName>
    <definedName name="кувепк443" localSheetId="14">#REF!</definedName>
    <definedName name="кувепк443" localSheetId="15">#REF!</definedName>
    <definedName name="кувепк443" localSheetId="16">#REF!</definedName>
    <definedName name="кувепк443" localSheetId="17">#REF!</definedName>
    <definedName name="кувепк443" localSheetId="18">#REF!</definedName>
    <definedName name="кувепк443" localSheetId="19">#REF!</definedName>
    <definedName name="кувепк443" localSheetId="20">#REF!</definedName>
    <definedName name="кувепк443" localSheetId="11">#REF!</definedName>
    <definedName name="кувепк443" localSheetId="12">#REF!</definedName>
    <definedName name="кувепк443" localSheetId="13">#REF!</definedName>
    <definedName name="кувепк443">#REF!</definedName>
    <definedName name="куе214" localSheetId="14">#REF!</definedName>
    <definedName name="куе214" localSheetId="15">#REF!</definedName>
    <definedName name="куе214" localSheetId="16">#REF!</definedName>
    <definedName name="куе214" localSheetId="17">#REF!</definedName>
    <definedName name="куе214" localSheetId="18">#REF!</definedName>
    <definedName name="куе214" localSheetId="19">#REF!</definedName>
    <definedName name="куе214" localSheetId="20">#REF!</definedName>
    <definedName name="куе214" localSheetId="11">#REF!</definedName>
    <definedName name="куе214" localSheetId="12">#REF!</definedName>
    <definedName name="куе214" localSheetId="13">#REF!</definedName>
    <definedName name="куе214">#REF!</definedName>
    <definedName name="куе5у346" localSheetId="14">#REF!</definedName>
    <definedName name="куе5у346" localSheetId="15">#REF!</definedName>
    <definedName name="куе5у346" localSheetId="16">#REF!</definedName>
    <definedName name="куе5у346" localSheetId="17">#REF!</definedName>
    <definedName name="куе5у346" localSheetId="18">#REF!</definedName>
    <definedName name="куе5у346" localSheetId="19">#REF!</definedName>
    <definedName name="куе5у346" localSheetId="20">#REF!</definedName>
    <definedName name="куе5у346" localSheetId="11">#REF!</definedName>
    <definedName name="куе5у346" localSheetId="12">#REF!</definedName>
    <definedName name="куе5у346" localSheetId="13">#REF!</definedName>
    <definedName name="куе5у346">#REF!</definedName>
    <definedName name="Материалы_для_АОСР">#REF!</definedName>
    <definedName name="_xlnm.Print_Area" localSheetId="14">'АВК 10'!$A$1:$I$89</definedName>
    <definedName name="_xlnm.Print_Area" localSheetId="15">'АВК 11'!$A$1:$I$89</definedName>
    <definedName name="_xlnm.Print_Area" localSheetId="16">'АВК 12'!$A$1:$I$89</definedName>
    <definedName name="_xlnm.Print_Area" localSheetId="17">'АВК 13'!$A$1:$I$89</definedName>
    <definedName name="_xlnm.Print_Area" localSheetId="18">'АВК 14'!$A$1:$I$89</definedName>
    <definedName name="_xlnm.Print_Area" localSheetId="19">'АВК 15'!$A$1:$I$89</definedName>
    <definedName name="_xlnm.Print_Area" localSheetId="20">'АВК 16'!$A$1:$I$89</definedName>
    <definedName name="_xlnm.Print_Area" localSheetId="6">'АВК 3'!$A$1:$I$89</definedName>
    <definedName name="_xlnm.Print_Area" localSheetId="10">'АВК 4'!$A$1:$I$89</definedName>
    <definedName name="_xlnm.Print_Area" localSheetId="11">'АВК 5'!$A$1:$I$89</definedName>
    <definedName name="_xlnm.Print_Area" localSheetId="12">'АВК 7'!$A$1:$I$89</definedName>
    <definedName name="_xlnm.Print_Area" localSheetId="13">'АВК 8'!$A$1:$I$89</definedName>
    <definedName name="_xlnm.Print_Area" localSheetId="3">Жвх.к!$A$1:$H$44</definedName>
    <definedName name="_xlnm.Print_Area" localSheetId="4">'Жвх.к (т)'!$A$1:$Z$34</definedName>
    <definedName name="_xlnm.Print_Area" localSheetId="9">'Лист регистрации АВК вне спец.'!$A$1:$M$32</definedName>
    <definedName name="_xlnm.Print_Area" localSheetId="8">'Лист регистрации АВК по спец.'!$A$1:$J$14</definedName>
    <definedName name="_xlnm.Print_Area" localSheetId="0">ПОДПИСИ!$A$1:$D$14</definedName>
    <definedName name="_xlnm.Print_Area" localSheetId="2">'Титул '!$A$1:$AD$33</definedName>
    <definedName name="_xlnm.Print_Area" localSheetId="7">'Титул (СМР и Рек.)'!$A$1:$AD$32</definedName>
    <definedName name="_xlnm.Print_Area" localSheetId="5">'Форма журнала'!$B$1:$K$113</definedName>
    <definedName name="оор" localSheetId="14">#REF!</definedName>
    <definedName name="оор" localSheetId="15">#REF!</definedName>
    <definedName name="оор" localSheetId="16">#REF!</definedName>
    <definedName name="оор" localSheetId="17">#REF!</definedName>
    <definedName name="оор" localSheetId="18">#REF!</definedName>
    <definedName name="оор" localSheetId="19">#REF!</definedName>
    <definedName name="оор" localSheetId="20">#REF!</definedName>
    <definedName name="оор" localSheetId="11">#REF!</definedName>
    <definedName name="оор" localSheetId="12">#REF!</definedName>
    <definedName name="оор" localSheetId="13">#REF!</definedName>
    <definedName name="оор">#REF!</definedName>
    <definedName name="Полимер" localSheetId="14">#REF!</definedName>
    <definedName name="Полимер" localSheetId="15">#REF!</definedName>
    <definedName name="Полимер" localSheetId="16">#REF!</definedName>
    <definedName name="Полимер" localSheetId="17">#REF!</definedName>
    <definedName name="Полимер" localSheetId="18">#REF!</definedName>
    <definedName name="Полимер" localSheetId="19">#REF!</definedName>
    <definedName name="Полимер" localSheetId="20">#REF!</definedName>
    <definedName name="Полимер" localSheetId="11">#REF!</definedName>
    <definedName name="Полимер" localSheetId="12">#REF!</definedName>
    <definedName name="Полимер" localSheetId="13">#REF!</definedName>
    <definedName name="Полимер">#REF!</definedName>
    <definedName name="Стройка">#REF!</definedName>
    <definedName name="уаывп32ц5" localSheetId="14">#REF!</definedName>
    <definedName name="уаывп32ц5" localSheetId="15">#REF!</definedName>
    <definedName name="уаывп32ц5" localSheetId="16">#REF!</definedName>
    <definedName name="уаывп32ц5" localSheetId="17">#REF!</definedName>
    <definedName name="уаывп32ц5" localSheetId="18">#REF!</definedName>
    <definedName name="уаывп32ц5" localSheetId="19">#REF!</definedName>
    <definedName name="уаывп32ц5" localSheetId="20">#REF!</definedName>
    <definedName name="уаывп32ц5" localSheetId="11">#REF!</definedName>
    <definedName name="уаывп32ц5" localSheetId="12">#REF!</definedName>
    <definedName name="уаывп32ц5" localSheetId="13">#REF!</definedName>
    <definedName name="уаывп32ц5">#REF!</definedName>
    <definedName name="фыв" localSheetId="14">#REF!</definedName>
    <definedName name="фыв" localSheetId="15">#REF!</definedName>
    <definedName name="фыв" localSheetId="16">#REF!</definedName>
    <definedName name="фыв" localSheetId="17">#REF!</definedName>
    <definedName name="фыв" localSheetId="18">#REF!</definedName>
    <definedName name="фыв" localSheetId="19">#REF!</definedName>
    <definedName name="фыв" localSheetId="20">#REF!</definedName>
    <definedName name="фыв" localSheetId="11">#REF!</definedName>
    <definedName name="фыв" localSheetId="12">#REF!</definedName>
    <definedName name="фыв" localSheetId="13">#REF!</definedName>
    <definedName name="фыв">#REF!</definedName>
    <definedName name="ыпарпмт24" localSheetId="14">#REF!</definedName>
    <definedName name="ыпарпмт24" localSheetId="15">#REF!</definedName>
    <definedName name="ыпарпмт24" localSheetId="16">#REF!</definedName>
    <definedName name="ыпарпмт24" localSheetId="17">#REF!</definedName>
    <definedName name="ыпарпмт24" localSheetId="18">#REF!</definedName>
    <definedName name="ыпарпмт24" localSheetId="19">#REF!</definedName>
    <definedName name="ыпарпмт24" localSheetId="20">#REF!</definedName>
    <definedName name="ыпарпмт24" localSheetId="11">#REF!</definedName>
    <definedName name="ыпарпмт24" localSheetId="12">#REF!</definedName>
    <definedName name="ыпарпмт24" localSheetId="13">#REF!</definedName>
    <definedName name="ыпарпмт24">#REF!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4" i="70" l="1"/>
  <c r="C73" i="70"/>
  <c r="B22" i="70"/>
  <c r="C78" i="70" s="1"/>
  <c r="B20" i="70"/>
  <c r="C76" i="70" s="1"/>
  <c r="A18" i="70"/>
  <c r="C15" i="70"/>
  <c r="D8" i="70"/>
  <c r="K4" i="70"/>
  <c r="K5" i="70" s="1"/>
  <c r="A84" i="69"/>
  <c r="C78" i="69"/>
  <c r="B22" i="69"/>
  <c r="B20" i="69"/>
  <c r="C76" i="69" s="1"/>
  <c r="A18" i="69"/>
  <c r="C73" i="69" s="1"/>
  <c r="C15" i="69"/>
  <c r="D8" i="69"/>
  <c r="K4" i="69"/>
  <c r="K5" i="69" s="1"/>
  <c r="A84" i="68"/>
  <c r="C78" i="68"/>
  <c r="B22" i="68"/>
  <c r="B20" i="68"/>
  <c r="C76" i="68" s="1"/>
  <c r="A18" i="68"/>
  <c r="C73" i="68" s="1"/>
  <c r="C15" i="68"/>
  <c r="D8" i="68"/>
  <c r="K5" i="68"/>
  <c r="K4" i="68"/>
  <c r="C38" i="68"/>
  <c r="D11" i="46" l="1"/>
  <c r="E11" i="46"/>
  <c r="F11" i="46"/>
  <c r="G11" i="46"/>
  <c r="D12" i="46"/>
  <c r="E12" i="46"/>
  <c r="F12" i="46"/>
  <c r="G12" i="46"/>
  <c r="D13" i="46"/>
  <c r="E13" i="46"/>
  <c r="F13" i="46"/>
  <c r="G13" i="46"/>
  <c r="D14" i="46"/>
  <c r="E14" i="46"/>
  <c r="F14" i="46"/>
  <c r="G14" i="46"/>
  <c r="D15" i="46"/>
  <c r="E15" i="46"/>
  <c r="F15" i="46"/>
  <c r="G15" i="46"/>
  <c r="D16" i="46"/>
  <c r="E16" i="46"/>
  <c r="F16" i="46"/>
  <c r="G16" i="46"/>
  <c r="D17" i="46"/>
  <c r="E17" i="46"/>
  <c r="F17" i="46"/>
  <c r="G17" i="46"/>
  <c r="D18" i="46"/>
  <c r="E18" i="46"/>
  <c r="F18" i="46"/>
  <c r="G18" i="46"/>
  <c r="D19" i="46"/>
  <c r="E19" i="46"/>
  <c r="F19" i="46"/>
  <c r="G19" i="46"/>
  <c r="D20" i="46"/>
  <c r="E20" i="46"/>
  <c r="F20" i="46"/>
  <c r="G20" i="46"/>
  <c r="D21" i="46"/>
  <c r="E21" i="46"/>
  <c r="F21" i="46"/>
  <c r="G21" i="46"/>
  <c r="D22" i="46"/>
  <c r="E22" i="46"/>
  <c r="F22" i="46"/>
  <c r="G22" i="46"/>
  <c r="D23" i="46"/>
  <c r="E23" i="46"/>
  <c r="F23" i="46"/>
  <c r="G23" i="46"/>
  <c r="D24" i="46"/>
  <c r="E24" i="46"/>
  <c r="F24" i="46"/>
  <c r="G24" i="46"/>
  <c r="D25" i="46"/>
  <c r="E25" i="46"/>
  <c r="F25" i="46"/>
  <c r="G25" i="46"/>
  <c r="D26" i="46"/>
  <c r="E26" i="46"/>
  <c r="F26" i="46"/>
  <c r="G26" i="46"/>
  <c r="D27" i="46"/>
  <c r="E27" i="46"/>
  <c r="F27" i="46"/>
  <c r="G27" i="46"/>
  <c r="D28" i="46"/>
  <c r="E28" i="46"/>
  <c r="F28" i="46"/>
  <c r="G28" i="46"/>
  <c r="D29" i="46"/>
  <c r="E29" i="46"/>
  <c r="F29" i="46"/>
  <c r="G29" i="46"/>
  <c r="D30" i="46"/>
  <c r="E30" i="46"/>
  <c r="F30" i="46"/>
  <c r="G30" i="46"/>
  <c r="D31" i="46"/>
  <c r="E31" i="46"/>
  <c r="F31" i="46"/>
  <c r="G31" i="46"/>
  <c r="D32" i="46"/>
  <c r="E32" i="46"/>
  <c r="F32" i="46"/>
  <c r="G32" i="46"/>
  <c r="D33" i="46"/>
  <c r="E33" i="46"/>
  <c r="F33" i="46"/>
  <c r="G33" i="46"/>
  <c r="D34" i="46"/>
  <c r="E34" i="46"/>
  <c r="F34" i="46"/>
  <c r="G34" i="46"/>
  <c r="D35" i="46"/>
  <c r="E35" i="46"/>
  <c r="F35" i="46"/>
  <c r="G35" i="46"/>
  <c r="D36" i="46"/>
  <c r="E36" i="46"/>
  <c r="F36" i="46"/>
  <c r="G36" i="46"/>
  <c r="D37" i="46"/>
  <c r="E37" i="46"/>
  <c r="F37" i="46"/>
  <c r="G37" i="46"/>
  <c r="D38" i="46"/>
  <c r="E38" i="46"/>
  <c r="F38" i="46"/>
  <c r="G38" i="46"/>
  <c r="D39" i="46"/>
  <c r="E39" i="46"/>
  <c r="F39" i="46"/>
  <c r="G39" i="46"/>
  <c r="D40" i="46"/>
  <c r="E40" i="46"/>
  <c r="F40" i="46"/>
  <c r="G40" i="46"/>
  <c r="D41" i="46"/>
  <c r="E41" i="46"/>
  <c r="F41" i="46"/>
  <c r="G41" i="46"/>
  <c r="D42" i="46"/>
  <c r="E42" i="46"/>
  <c r="F42" i="46"/>
  <c r="G42" i="46"/>
  <c r="D43" i="46"/>
  <c r="E43" i="46"/>
  <c r="F43" i="46"/>
  <c r="G43" i="46"/>
  <c r="D44" i="46"/>
  <c r="E44" i="46"/>
  <c r="F44" i="46"/>
  <c r="G44" i="46"/>
  <c r="D45" i="46"/>
  <c r="E45" i="46"/>
  <c r="F45" i="46"/>
  <c r="G45" i="46"/>
  <c r="D46" i="46"/>
  <c r="E46" i="46"/>
  <c r="F46" i="46"/>
  <c r="G46" i="46"/>
  <c r="D47" i="46"/>
  <c r="E47" i="46"/>
  <c r="F47" i="46"/>
  <c r="G47" i="46"/>
  <c r="D48" i="46"/>
  <c r="E48" i="46"/>
  <c r="F48" i="46"/>
  <c r="G48" i="46"/>
  <c r="D49" i="46"/>
  <c r="E49" i="46"/>
  <c r="F49" i="46"/>
  <c r="G49" i="46"/>
  <c r="D50" i="46"/>
  <c r="E50" i="46"/>
  <c r="F50" i="46"/>
  <c r="G50" i="46"/>
  <c r="D51" i="46"/>
  <c r="E51" i="46"/>
  <c r="F51" i="46"/>
  <c r="G51" i="46"/>
  <c r="D52" i="46"/>
  <c r="E52" i="46"/>
  <c r="F52" i="46"/>
  <c r="G52" i="46"/>
  <c r="D53" i="46"/>
  <c r="E53" i="46"/>
  <c r="F53" i="46"/>
  <c r="G53" i="46"/>
  <c r="D54" i="46"/>
  <c r="E54" i="46"/>
  <c r="F54" i="46"/>
  <c r="G54" i="46"/>
  <c r="D55" i="46"/>
  <c r="E55" i="46"/>
  <c r="F55" i="46"/>
  <c r="G55" i="46"/>
  <c r="D56" i="46"/>
  <c r="E56" i="46"/>
  <c r="F56" i="46"/>
  <c r="G56" i="46"/>
  <c r="D57" i="46"/>
  <c r="E57" i="46"/>
  <c r="F57" i="46"/>
  <c r="G57" i="46"/>
  <c r="D58" i="46"/>
  <c r="E58" i="46"/>
  <c r="F58" i="46"/>
  <c r="G58" i="46"/>
  <c r="D59" i="46"/>
  <c r="E59" i="46"/>
  <c r="F59" i="46"/>
  <c r="G59" i="46"/>
  <c r="D60" i="46"/>
  <c r="E60" i="46"/>
  <c r="F60" i="46"/>
  <c r="G60" i="46"/>
  <c r="D61" i="46"/>
  <c r="E61" i="46"/>
  <c r="F61" i="46"/>
  <c r="G61" i="46"/>
  <c r="D62" i="46"/>
  <c r="E62" i="46"/>
  <c r="F62" i="46"/>
  <c r="G62" i="46"/>
  <c r="D63" i="46"/>
  <c r="E63" i="46"/>
  <c r="F63" i="46"/>
  <c r="G63" i="46"/>
  <c r="D64" i="46"/>
  <c r="E64" i="46"/>
  <c r="F64" i="46"/>
  <c r="G64" i="46"/>
  <c r="D65" i="46"/>
  <c r="E65" i="46"/>
  <c r="F65" i="46"/>
  <c r="G65" i="46"/>
  <c r="D66" i="46"/>
  <c r="E66" i="46"/>
  <c r="F66" i="46"/>
  <c r="G66" i="46"/>
  <c r="D67" i="46"/>
  <c r="E67" i="46"/>
  <c r="F67" i="46"/>
  <c r="G67" i="46"/>
  <c r="D68" i="46"/>
  <c r="E68" i="46"/>
  <c r="F68" i="46"/>
  <c r="G68" i="46"/>
  <c r="D69" i="46"/>
  <c r="E69" i="46"/>
  <c r="F69" i="46"/>
  <c r="G69" i="46"/>
  <c r="D70" i="46"/>
  <c r="E70" i="46"/>
  <c r="F70" i="46"/>
  <c r="G70" i="46"/>
  <c r="D71" i="46"/>
  <c r="E71" i="46"/>
  <c r="F71" i="46"/>
  <c r="G71" i="46"/>
  <c r="D72" i="46"/>
  <c r="E72" i="46"/>
  <c r="F72" i="46"/>
  <c r="G72" i="46"/>
  <c r="D73" i="46"/>
  <c r="E73" i="46"/>
  <c r="F73" i="46"/>
  <c r="G73" i="46"/>
  <c r="D74" i="46"/>
  <c r="E74" i="46"/>
  <c r="F74" i="46"/>
  <c r="G74" i="46"/>
  <c r="D75" i="46"/>
  <c r="E75" i="46"/>
  <c r="F75" i="46"/>
  <c r="G75" i="46"/>
  <c r="D76" i="46"/>
  <c r="E76" i="46"/>
  <c r="F76" i="46"/>
  <c r="G76" i="46"/>
  <c r="D77" i="46"/>
  <c r="E77" i="46"/>
  <c r="F77" i="46"/>
  <c r="G77" i="46"/>
  <c r="D78" i="46"/>
  <c r="E78" i="46"/>
  <c r="F78" i="46"/>
  <c r="G78" i="46"/>
  <c r="D79" i="46"/>
  <c r="E79" i="46"/>
  <c r="F79" i="46"/>
  <c r="G79" i="46"/>
  <c r="D80" i="46"/>
  <c r="E80" i="46"/>
  <c r="F80" i="46"/>
  <c r="G80" i="46"/>
  <c r="D81" i="46"/>
  <c r="E81" i="46"/>
  <c r="F81" i="46"/>
  <c r="G81" i="46"/>
  <c r="D82" i="46"/>
  <c r="E82" i="46"/>
  <c r="F82" i="46"/>
  <c r="G82" i="46"/>
  <c r="D83" i="46"/>
  <c r="E83" i="46"/>
  <c r="F83" i="46"/>
  <c r="G83" i="46"/>
  <c r="D84" i="46"/>
  <c r="E84" i="46"/>
  <c r="F84" i="46"/>
  <c r="G84" i="46"/>
  <c r="C11" i="46"/>
  <c r="C12" i="46"/>
  <c r="L12" i="46" s="1"/>
  <c r="C13" i="46"/>
  <c r="C20" i="46"/>
  <c r="C21" i="46"/>
  <c r="C22" i="46"/>
  <c r="C23" i="46"/>
  <c r="C24" i="46"/>
  <c r="C25" i="46"/>
  <c r="C26" i="46"/>
  <c r="C27" i="46"/>
  <c r="C28" i="46"/>
  <c r="C29" i="46"/>
  <c r="C30" i="46"/>
  <c r="C31" i="46"/>
  <c r="C32" i="46"/>
  <c r="L32" i="46" s="1"/>
  <c r="C33" i="46"/>
  <c r="C34" i="46"/>
  <c r="C35" i="46"/>
  <c r="C36" i="46"/>
  <c r="L36" i="46" s="1"/>
  <c r="C37" i="46"/>
  <c r="C38" i="46"/>
  <c r="C39" i="46"/>
  <c r="C40" i="46"/>
  <c r="L40" i="46" s="1"/>
  <c r="C41" i="46"/>
  <c r="C42" i="46"/>
  <c r="C43" i="46"/>
  <c r="C44" i="46"/>
  <c r="C45" i="46"/>
  <c r="C46" i="46"/>
  <c r="C47" i="46"/>
  <c r="C48" i="46"/>
  <c r="C49" i="46"/>
  <c r="C50" i="46"/>
  <c r="C51" i="46"/>
  <c r="C52" i="46"/>
  <c r="C53" i="46"/>
  <c r="C54" i="46"/>
  <c r="C55" i="46"/>
  <c r="C56" i="46"/>
  <c r="C57" i="46"/>
  <c r="C58" i="46"/>
  <c r="C59" i="46"/>
  <c r="C60" i="46"/>
  <c r="L60" i="46" s="1"/>
  <c r="C61" i="46"/>
  <c r="C62" i="46"/>
  <c r="C63" i="46"/>
  <c r="C64" i="46"/>
  <c r="L64" i="46" s="1"/>
  <c r="C65" i="46"/>
  <c r="C66" i="46"/>
  <c r="C67" i="46"/>
  <c r="C68" i="46"/>
  <c r="L68" i="46" s="1"/>
  <c r="C69" i="46"/>
  <c r="C70" i="46"/>
  <c r="C71" i="46"/>
  <c r="C72" i="46"/>
  <c r="L72" i="46" s="1"/>
  <c r="C73" i="46"/>
  <c r="C74" i="46"/>
  <c r="C75" i="46"/>
  <c r="C76" i="46"/>
  <c r="L76" i="46" s="1"/>
  <c r="C77" i="46"/>
  <c r="C78" i="46"/>
  <c r="C79" i="46"/>
  <c r="C80" i="46"/>
  <c r="L80" i="46" s="1"/>
  <c r="C81" i="46"/>
  <c r="C82" i="46"/>
  <c r="C83" i="46"/>
  <c r="C84" i="46"/>
  <c r="L84" i="46" s="1"/>
  <c r="L11" i="46"/>
  <c r="L13" i="46"/>
  <c r="L20" i="46"/>
  <c r="L21" i="46"/>
  <c r="L22" i="46"/>
  <c r="L23" i="46"/>
  <c r="L24" i="46"/>
  <c r="L25" i="46"/>
  <c r="L26" i="46"/>
  <c r="L27" i="46"/>
  <c r="L28" i="46"/>
  <c r="L29" i="46"/>
  <c r="L30" i="46"/>
  <c r="L31" i="46"/>
  <c r="L33" i="46"/>
  <c r="L34" i="46"/>
  <c r="L35" i="46"/>
  <c r="L37" i="46"/>
  <c r="L38" i="46"/>
  <c r="L39" i="46"/>
  <c r="L41" i="46"/>
  <c r="L42" i="46"/>
  <c r="L43" i="46"/>
  <c r="L44" i="46"/>
  <c r="L45" i="46"/>
  <c r="L46" i="46"/>
  <c r="L47" i="46"/>
  <c r="L48" i="46"/>
  <c r="L49" i="46"/>
  <c r="L50" i="46"/>
  <c r="L51" i="46"/>
  <c r="L52" i="46"/>
  <c r="L53" i="46"/>
  <c r="L54" i="46"/>
  <c r="L55" i="46"/>
  <c r="L56" i="46"/>
  <c r="L57" i="46"/>
  <c r="L58" i="46"/>
  <c r="L59" i="46"/>
  <c r="L61" i="46"/>
  <c r="L62" i="46"/>
  <c r="L63" i="46"/>
  <c r="L65" i="46"/>
  <c r="L66" i="46"/>
  <c r="L67" i="46"/>
  <c r="L69" i="46"/>
  <c r="L70" i="46"/>
  <c r="L71" i="46"/>
  <c r="L73" i="46"/>
  <c r="L74" i="46"/>
  <c r="L75" i="46"/>
  <c r="L77" i="46"/>
  <c r="L78" i="46"/>
  <c r="L79" i="46"/>
  <c r="L81" i="46"/>
  <c r="L82" i="46"/>
  <c r="L83" i="46"/>
  <c r="A34" i="69"/>
  <c r="A31" i="69"/>
  <c r="C38" i="70"/>
  <c r="G13" i="70"/>
  <c r="G13" i="68"/>
  <c r="A11" i="69"/>
  <c r="A31" i="68"/>
  <c r="A11" i="68"/>
  <c r="F57" i="70"/>
  <c r="F57" i="68"/>
  <c r="G13" i="69"/>
  <c r="C38" i="69"/>
  <c r="A34" i="70"/>
  <c r="A31" i="70"/>
  <c r="C36" i="70"/>
  <c r="A34" i="68"/>
  <c r="F57" i="69"/>
  <c r="C36" i="68"/>
  <c r="C36" i="69"/>
  <c r="A11" i="70"/>
  <c r="A46" i="68" l="1"/>
  <c r="A46" i="70"/>
  <c r="A46" i="69"/>
  <c r="L9" i="66" l="1"/>
  <c r="G16" i="65"/>
  <c r="A87" i="46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G118" i="46"/>
  <c r="F118" i="46"/>
  <c r="E118" i="46"/>
  <c r="D118" i="46"/>
  <c r="C118" i="46"/>
  <c r="G117" i="46"/>
  <c r="F117" i="46"/>
  <c r="E117" i="46"/>
  <c r="D117" i="46"/>
  <c r="C117" i="46"/>
  <c r="G116" i="46"/>
  <c r="F116" i="46"/>
  <c r="E116" i="46"/>
  <c r="D116" i="46"/>
  <c r="C116" i="46"/>
  <c r="G115" i="46"/>
  <c r="F115" i="46"/>
  <c r="E115" i="46"/>
  <c r="D115" i="46"/>
  <c r="C115" i="46"/>
  <c r="G114" i="46"/>
  <c r="F114" i="46"/>
  <c r="E114" i="46"/>
  <c r="D114" i="46"/>
  <c r="C114" i="46"/>
  <c r="G113" i="46"/>
  <c r="F113" i="46"/>
  <c r="E113" i="46"/>
  <c r="D113" i="46"/>
  <c r="C113" i="46"/>
  <c r="G112" i="46"/>
  <c r="F112" i="46"/>
  <c r="E112" i="46"/>
  <c r="D112" i="46"/>
  <c r="C112" i="46"/>
  <c r="G111" i="46"/>
  <c r="F111" i="46"/>
  <c r="E111" i="46"/>
  <c r="D111" i="46"/>
  <c r="C111" i="46"/>
  <c r="G110" i="46"/>
  <c r="F110" i="46"/>
  <c r="E110" i="46"/>
  <c r="D110" i="46"/>
  <c r="C110" i="46"/>
  <c r="G109" i="46"/>
  <c r="F109" i="46"/>
  <c r="E109" i="46"/>
  <c r="D109" i="46"/>
  <c r="C109" i="46"/>
  <c r="G108" i="46"/>
  <c r="F108" i="46"/>
  <c r="E108" i="46"/>
  <c r="D108" i="46"/>
  <c r="C108" i="46"/>
  <c r="G107" i="46"/>
  <c r="F107" i="46"/>
  <c r="E107" i="46"/>
  <c r="D107" i="46"/>
  <c r="C107" i="46"/>
  <c r="G105" i="46"/>
  <c r="F105" i="46"/>
  <c r="E105" i="46"/>
  <c r="D105" i="46"/>
  <c r="C105" i="46"/>
  <c r="G104" i="46"/>
  <c r="F104" i="46"/>
  <c r="E104" i="46"/>
  <c r="D104" i="46"/>
  <c r="C104" i="46"/>
  <c r="G103" i="46"/>
  <c r="F103" i="46"/>
  <c r="E103" i="46"/>
  <c r="D103" i="46"/>
  <c r="C103" i="46"/>
  <c r="G102" i="46"/>
  <c r="F102" i="46"/>
  <c r="E102" i="46"/>
  <c r="D102" i="46"/>
  <c r="C102" i="46"/>
  <c r="G101" i="46"/>
  <c r="F101" i="46"/>
  <c r="E101" i="46"/>
  <c r="D101" i="46"/>
  <c r="C101" i="46"/>
  <c r="G100" i="46"/>
  <c r="F100" i="46"/>
  <c r="E100" i="46"/>
  <c r="D100" i="46"/>
  <c r="C100" i="46"/>
  <c r="G99" i="46"/>
  <c r="F99" i="46"/>
  <c r="E99" i="46"/>
  <c r="D99" i="46"/>
  <c r="C99" i="46"/>
  <c r="G98" i="46"/>
  <c r="F98" i="46"/>
  <c r="E98" i="46"/>
  <c r="D98" i="46"/>
  <c r="C98" i="46"/>
  <c r="G97" i="46"/>
  <c r="F97" i="46"/>
  <c r="E97" i="46"/>
  <c r="D97" i="46"/>
  <c r="C97" i="46"/>
  <c r="G96" i="46"/>
  <c r="F96" i="46"/>
  <c r="E96" i="46"/>
  <c r="D96" i="46"/>
  <c r="C96" i="46"/>
  <c r="G95" i="46"/>
  <c r="F95" i="46"/>
  <c r="E95" i="46"/>
  <c r="D95" i="46"/>
  <c r="C95" i="46"/>
  <c r="G94" i="46"/>
  <c r="F94" i="46"/>
  <c r="E94" i="46"/>
  <c r="D94" i="46"/>
  <c r="C94" i="46"/>
  <c r="G93" i="46"/>
  <c r="F93" i="46"/>
  <c r="E93" i="46"/>
  <c r="D93" i="46"/>
  <c r="C93" i="46"/>
  <c r="G92" i="46"/>
  <c r="F92" i="46"/>
  <c r="E92" i="46"/>
  <c r="D92" i="46"/>
  <c r="C92" i="46"/>
  <c r="G91" i="46"/>
  <c r="F91" i="46"/>
  <c r="E91" i="46"/>
  <c r="D91" i="46"/>
  <c r="C91" i="46"/>
  <c r="G90" i="46"/>
  <c r="F90" i="46"/>
  <c r="E90" i="46"/>
  <c r="D90" i="46"/>
  <c r="C90" i="46"/>
  <c r="G89" i="46"/>
  <c r="F89" i="46"/>
  <c r="E89" i="46"/>
  <c r="D89" i="46"/>
  <c r="C89" i="46"/>
  <c r="G88" i="46"/>
  <c r="F88" i="46"/>
  <c r="E88" i="46"/>
  <c r="D88" i="46"/>
  <c r="C88" i="46"/>
  <c r="G87" i="46"/>
  <c r="F87" i="46"/>
  <c r="E87" i="46"/>
  <c r="D87" i="46"/>
  <c r="C87" i="46"/>
  <c r="D4" i="46" l="1"/>
  <c r="E4" i="46"/>
  <c r="E3" i="46"/>
  <c r="D3" i="46"/>
  <c r="H86" i="46"/>
  <c r="M84" i="46"/>
  <c r="M51" i="46"/>
  <c r="M52" i="46"/>
  <c r="M53" i="46"/>
  <c r="M54" i="46"/>
  <c r="M55" i="46"/>
  <c r="M56" i="46"/>
  <c r="M57" i="46"/>
  <c r="M58" i="46"/>
  <c r="M59" i="46"/>
  <c r="M60" i="46"/>
  <c r="M61" i="46"/>
  <c r="M62" i="46"/>
  <c r="M63" i="46"/>
  <c r="M64" i="46"/>
  <c r="M65" i="46"/>
  <c r="M66" i="46"/>
  <c r="M67" i="46"/>
  <c r="M68" i="46"/>
  <c r="M69" i="46"/>
  <c r="M70" i="46"/>
  <c r="M71" i="46"/>
  <c r="M72" i="46"/>
  <c r="M73" i="46"/>
  <c r="M74" i="46"/>
  <c r="M75" i="46"/>
  <c r="M76" i="46"/>
  <c r="M77" i="46"/>
  <c r="M78" i="46"/>
  <c r="M79" i="46"/>
  <c r="M80" i="46"/>
  <c r="M81" i="46"/>
  <c r="M82" i="46"/>
  <c r="M83" i="46"/>
  <c r="C85" i="46"/>
  <c r="D85" i="46"/>
  <c r="E85" i="46"/>
  <c r="F85" i="46"/>
  <c r="G85" i="46"/>
  <c r="C86" i="46"/>
  <c r="D86" i="46"/>
  <c r="E86" i="46"/>
  <c r="F86" i="46"/>
  <c r="G86" i="46"/>
  <c r="L203" i="46"/>
  <c r="L202" i="46"/>
  <c r="L201" i="46"/>
  <c r="L200" i="46"/>
  <c r="L199" i="46"/>
  <c r="L198" i="46"/>
  <c r="L197" i="46"/>
  <c r="L196" i="46"/>
  <c r="L195" i="46"/>
  <c r="L194" i="46"/>
  <c r="C3" i="46"/>
  <c r="L3" i="46" s="1"/>
  <c r="C4" i="46"/>
  <c r="L4" i="46" s="1"/>
  <c r="F4" i="46"/>
  <c r="G4" i="46"/>
  <c r="C5" i="46"/>
  <c r="L5" i="46" s="1"/>
  <c r="D5" i="46"/>
  <c r="E5" i="46"/>
  <c r="F5" i="46"/>
  <c r="G5" i="46"/>
  <c r="C6" i="46"/>
  <c r="L6" i="46" s="1"/>
  <c r="D6" i="46"/>
  <c r="E6" i="46"/>
  <c r="F6" i="46"/>
  <c r="G6" i="46"/>
  <c r="C7" i="46"/>
  <c r="L7" i="46" s="1"/>
  <c r="D7" i="46"/>
  <c r="E7" i="46"/>
  <c r="F7" i="46"/>
  <c r="G7" i="46"/>
  <c r="C8" i="46"/>
  <c r="L8" i="46" s="1"/>
  <c r="D8" i="46"/>
  <c r="E8" i="46"/>
  <c r="F8" i="46"/>
  <c r="G8" i="46"/>
  <c r="C9" i="46"/>
  <c r="L9" i="46" s="1"/>
  <c r="D9" i="46"/>
  <c r="E9" i="46"/>
  <c r="F9" i="46"/>
  <c r="G9" i="46"/>
  <c r="C10" i="46"/>
  <c r="L10" i="46" s="1"/>
  <c r="D10" i="46"/>
  <c r="E10" i="46"/>
  <c r="F10" i="46"/>
  <c r="G10" i="46"/>
  <c r="C14" i="46"/>
  <c r="L14" i="46" s="1"/>
  <c r="C15" i="46"/>
  <c r="L15" i="46" s="1"/>
  <c r="C16" i="46"/>
  <c r="L16" i="46" s="1"/>
  <c r="C17" i="46"/>
  <c r="L17" i="46" s="1"/>
  <c r="C18" i="46"/>
  <c r="L18" i="46" s="1"/>
  <c r="C19" i="46"/>
  <c r="L19" i="46" s="1"/>
  <c r="M21" i="46"/>
  <c r="M22" i="46"/>
  <c r="M23" i="46"/>
  <c r="M24" i="46"/>
  <c r="M25" i="46"/>
  <c r="M26" i="46"/>
  <c r="M27" i="46"/>
  <c r="M28" i="46"/>
  <c r="M29" i="46"/>
  <c r="M30" i="46"/>
  <c r="M31" i="46"/>
  <c r="M32" i="46"/>
  <c r="M33" i="46"/>
  <c r="M35" i="46"/>
  <c r="M36" i="46"/>
  <c r="M39" i="46"/>
  <c r="M40" i="46"/>
  <c r="M41" i="46"/>
  <c r="M42" i="46"/>
  <c r="M43" i="46"/>
  <c r="M44" i="46"/>
  <c r="M45" i="46"/>
  <c r="M46" i="46"/>
  <c r="M47" i="46"/>
  <c r="M48" i="46"/>
  <c r="M49" i="46"/>
  <c r="M50" i="46"/>
  <c r="F3" i="46"/>
  <c r="G3" i="46"/>
  <c r="G21" i="65"/>
  <c r="B7" i="51"/>
  <c r="C17" i="51"/>
  <c r="B82" i="46" l="1"/>
  <c r="B51" i="46"/>
  <c r="B84" i="46"/>
  <c r="B57" i="46"/>
  <c r="B65" i="46"/>
  <c r="B73" i="46"/>
  <c r="B81" i="46"/>
  <c r="B54" i="46"/>
  <c r="B62" i="46"/>
  <c r="B70" i="46"/>
  <c r="B78" i="46"/>
  <c r="B55" i="46"/>
  <c r="B59" i="46"/>
  <c r="B63" i="46"/>
  <c r="B67" i="46"/>
  <c r="B71" i="46"/>
  <c r="B75" i="46"/>
  <c r="B79" i="46"/>
  <c r="B83" i="46"/>
  <c r="B53" i="46"/>
  <c r="B61" i="46"/>
  <c r="B69" i="46"/>
  <c r="B77" i="46"/>
  <c r="B58" i="46"/>
  <c r="B66" i="46"/>
  <c r="B74" i="46"/>
  <c r="B52" i="46"/>
  <c r="B56" i="46"/>
  <c r="B60" i="46"/>
  <c r="B64" i="46"/>
  <c r="B68" i="46"/>
  <c r="B72" i="46"/>
  <c r="B76" i="46"/>
  <c r="B80" i="46"/>
  <c r="J91" i="66" l="1"/>
  <c r="A84" i="60"/>
  <c r="B22" i="60"/>
  <c r="C78" i="60" s="1"/>
  <c r="B20" i="60"/>
  <c r="C76" i="60" s="1"/>
  <c r="A18" i="60"/>
  <c r="C73" i="60" s="1"/>
  <c r="C15" i="60"/>
  <c r="D8" i="60"/>
  <c r="K4" i="60"/>
  <c r="K5" i="60" s="1"/>
  <c r="C38" i="60"/>
  <c r="F106" i="46" l="1"/>
  <c r="C106" i="46"/>
  <c r="E106" i="46"/>
  <c r="G106" i="46"/>
  <c r="D106" i="46"/>
  <c r="B22" i="54"/>
  <c r="B22" i="55"/>
  <c r="B22" i="53"/>
  <c r="B22" i="56"/>
  <c r="B22" i="57"/>
  <c r="B22" i="58"/>
  <c r="B22" i="59"/>
  <c r="B22" i="5"/>
  <c r="B20" i="54"/>
  <c r="B20" i="55"/>
  <c r="B20" i="53"/>
  <c r="B20" i="56"/>
  <c r="B20" i="57"/>
  <c r="B20" i="58"/>
  <c r="B20" i="59"/>
  <c r="B20" i="5"/>
  <c r="A18" i="54"/>
  <c r="A18" i="55"/>
  <c r="A18" i="53"/>
  <c r="A18" i="56"/>
  <c r="A18" i="57"/>
  <c r="A18" i="58"/>
  <c r="A18" i="59"/>
  <c r="A18" i="5"/>
  <c r="A31" i="60"/>
  <c r="G13" i="60"/>
  <c r="A34" i="60"/>
  <c r="F57" i="60"/>
  <c r="C36" i="60"/>
  <c r="A46" i="60" l="1"/>
  <c r="A84" i="54"/>
  <c r="A84" i="55"/>
  <c r="A84" i="53"/>
  <c r="A84" i="56"/>
  <c r="A84" i="57"/>
  <c r="A84" i="58"/>
  <c r="A84" i="59"/>
  <c r="A84" i="5"/>
  <c r="A90" i="52"/>
  <c r="C78" i="59" l="1"/>
  <c r="C76" i="59"/>
  <c r="C73" i="59"/>
  <c r="C15" i="59"/>
  <c r="D8" i="59"/>
  <c r="K4" i="59"/>
  <c r="K5" i="59" s="1"/>
  <c r="C78" i="58"/>
  <c r="C76" i="58"/>
  <c r="C73" i="58"/>
  <c r="C15" i="58"/>
  <c r="D8" i="58"/>
  <c r="K4" i="58"/>
  <c r="K5" i="58" s="1"/>
  <c r="C78" i="57"/>
  <c r="C76" i="57"/>
  <c r="C73" i="57"/>
  <c r="C15" i="57"/>
  <c r="D8" i="57"/>
  <c r="K4" i="57"/>
  <c r="K5" i="57" s="1"/>
  <c r="C78" i="56"/>
  <c r="C76" i="56"/>
  <c r="C73" i="56"/>
  <c r="C15" i="56"/>
  <c r="D8" i="56"/>
  <c r="K4" i="56"/>
  <c r="K5" i="56" s="1"/>
  <c r="C78" i="55"/>
  <c r="C76" i="55"/>
  <c r="C73" i="55"/>
  <c r="C15" i="55"/>
  <c r="D8" i="55"/>
  <c r="K4" i="55"/>
  <c r="K5" i="55" s="1"/>
  <c r="C78" i="54"/>
  <c r="C76" i="54"/>
  <c r="C73" i="54"/>
  <c r="C15" i="54"/>
  <c r="D8" i="54"/>
  <c r="K4" i="54"/>
  <c r="K5" i="54" s="1"/>
  <c r="C78" i="53"/>
  <c r="C76" i="53"/>
  <c r="C73" i="53"/>
  <c r="C15" i="53"/>
  <c r="D8" i="53"/>
  <c r="K4" i="53"/>
  <c r="K5" i="53" s="1"/>
  <c r="K4" i="5"/>
  <c r="K5" i="5" s="1"/>
  <c r="C15" i="5"/>
  <c r="D8" i="5"/>
  <c r="F57" i="57"/>
  <c r="A31" i="59"/>
  <c r="A34" i="59"/>
  <c r="C36" i="59"/>
  <c r="C38" i="59"/>
  <c r="A31" i="55"/>
  <c r="G13" i="55"/>
  <c r="F57" i="5"/>
  <c r="C38" i="57"/>
  <c r="G13" i="57"/>
  <c r="F57" i="59"/>
  <c r="F57" i="53"/>
  <c r="F57" i="54"/>
  <c r="A34" i="55"/>
  <c r="F57" i="56"/>
  <c r="A34" i="58"/>
  <c r="C78" i="5" l="1"/>
  <c r="C38" i="56"/>
  <c r="A34" i="56"/>
  <c r="G13" i="54"/>
  <c r="F57" i="58"/>
  <c r="A34" i="5"/>
  <c r="A31" i="54"/>
  <c r="C36" i="56"/>
  <c r="C36" i="58"/>
  <c r="G13" i="58"/>
  <c r="A34" i="57"/>
  <c r="C38" i="55"/>
  <c r="C36" i="54"/>
  <c r="A34" i="53"/>
  <c r="A31" i="57"/>
  <c r="G13" i="56"/>
  <c r="C38" i="54"/>
  <c r="A31" i="56"/>
  <c r="G13" i="59"/>
  <c r="F57" i="55"/>
  <c r="C38" i="5"/>
  <c r="A31" i="58"/>
  <c r="C38" i="53"/>
  <c r="A34" i="54"/>
  <c r="C38" i="58"/>
  <c r="A31" i="53"/>
  <c r="A31" i="5"/>
  <c r="C36" i="5"/>
  <c r="C36" i="53"/>
  <c r="G13" i="53"/>
  <c r="C36" i="55"/>
  <c r="C36" i="57"/>
  <c r="G13" i="5"/>
  <c r="A46" i="54" l="1"/>
  <c r="A46" i="59"/>
  <c r="A46" i="5"/>
  <c r="A46" i="56"/>
  <c r="A46" i="55"/>
  <c r="A46" i="57"/>
  <c r="A46" i="53"/>
  <c r="A46" i="58"/>
  <c r="C73" i="5"/>
  <c r="C76" i="5" l="1"/>
  <c r="B3" i="46" l="1"/>
  <c r="B9" i="46"/>
  <c r="B10" i="46"/>
  <c r="B4" i="46"/>
  <c r="B5" i="46"/>
  <c r="B7" i="46"/>
  <c r="B8" i="46"/>
  <c r="B6" i="46"/>
  <c r="B14" i="46"/>
  <c r="B11" i="46"/>
  <c r="B13" i="46"/>
  <c r="B12" i="46"/>
  <c r="B15" i="46"/>
  <c r="B16" i="46"/>
  <c r="B37" i="46"/>
  <c r="B27" i="46"/>
  <c r="B35" i="46"/>
  <c r="B34" i="46"/>
  <c r="B23" i="46"/>
  <c r="B28" i="46"/>
  <c r="B18" i="46"/>
  <c r="B47" i="46"/>
  <c r="B42" i="46"/>
  <c r="B25" i="46"/>
  <c r="B43" i="46"/>
  <c r="B50" i="46"/>
  <c r="B39" i="46"/>
  <c r="B21" i="46"/>
  <c r="B30" i="46"/>
  <c r="B45" i="46"/>
  <c r="B20" i="46"/>
  <c r="B29" i="46"/>
  <c r="B40" i="46"/>
  <c r="B41" i="46"/>
  <c r="B33" i="46"/>
  <c r="B48" i="46"/>
  <c r="B17" i="46"/>
  <c r="B49" i="46"/>
  <c r="B19" i="46"/>
  <c r="B44" i="46"/>
  <c r="B32" i="46"/>
  <c r="B31" i="46"/>
  <c r="B26" i="46"/>
  <c r="B38" i="46"/>
  <c r="B46" i="46"/>
  <c r="B22" i="46"/>
  <c r="B24" i="46"/>
  <c r="B36" i="46"/>
  <c r="A11" i="59"/>
  <c r="A11" i="57"/>
  <c r="A11" i="54"/>
  <c r="A11" i="60"/>
  <c r="A11" i="53"/>
  <c r="A11" i="55"/>
  <c r="A11" i="58"/>
  <c r="A11" i="56"/>
  <c r="A11" i="5"/>
</calcChain>
</file>

<file path=xl/sharedStrings.xml><?xml version="1.0" encoding="utf-8"?>
<sst xmlns="http://schemas.openxmlformats.org/spreadsheetml/2006/main" count="2487" uniqueCount="573">
  <si>
    <t xml:space="preserve">ЖУРНАЛ
        </t>
  </si>
  <si>
    <t>Начат</t>
  </si>
  <si>
    <t>Окончен</t>
  </si>
  <si>
    <t>г.</t>
  </si>
  <si>
    <t>№
п/п</t>
  </si>
  <si>
    <t>Приложение 2</t>
  </si>
  <si>
    <t>к Положению</t>
  </si>
  <si>
    <t>ФОРМА</t>
  </si>
  <si>
    <t>(результат контроля продукции)</t>
  </si>
  <si>
    <t>Объект строительства:</t>
  </si>
  <si>
    <t>Заказчик строительства:</t>
  </si>
  <si>
    <t>ВХОДНОГО КОНТРОЛЯ</t>
  </si>
  <si>
    <t>(место проведения)</t>
  </si>
  <si>
    <t>Нами, комиссией</t>
  </si>
  <si>
    <t>Количество, масс, объем проверенной 
продукции (в ед. изм.)</t>
  </si>
  <si>
    <t>Визуальным осмотром</t>
  </si>
  <si>
    <t>Инструментальными и приборными методами</t>
  </si>
  <si>
    <t>Вид контроля (НТД) и дата сдачи образцов (проб) на контроль</t>
  </si>
  <si>
    <t>Приборы контроля</t>
  </si>
  <si>
    <t>№ прибора и дата проверки прибора</t>
  </si>
  <si>
    <t>№ и дата протокола контроля</t>
  </si>
  <si>
    <t>Заключение по контролю (годен/не годен)</t>
  </si>
  <si>
    <t>(организация, от которой сформирована комиссия)</t>
  </si>
  <si>
    <t>и членов комиссии:</t>
  </si>
  <si>
    <t>(должность, организация, фамилия, имя, отчество)</t>
  </si>
  <si>
    <t>руководствуясь</t>
  </si>
  <si>
    <t>(документ, устанавливающий требования по организации и проведению входного контроля продукции)</t>
  </si>
  <si>
    <t>составлен настоящий акт о выполненном входном контроле продукции для строительства.</t>
  </si>
  <si>
    <t>1. К входному контролю представлена следующая продукция:</t>
  </si>
  <si>
    <t>(наименование продукции)</t>
  </si>
  <si>
    <t>1.1 Наименование, номер документа, удостоверяющего качества и НТД на продукцию:</t>
  </si>
  <si>
    <t>НТД</t>
  </si>
  <si>
    <t>(ГОСТ, ТУ, чертеж КМД)</t>
  </si>
  <si>
    <t>(Изготовитель, № документа и дата, № партии, Дата изготовления)</t>
  </si>
  <si>
    <t>Председателя</t>
  </si>
  <si>
    <t>(штуки, объем, вес в ед. изм.)</t>
  </si>
  <si>
    <t>(штуки, объем, вес в ед. изм)</t>
  </si>
  <si>
    <t>1.3 Поставщик:</t>
  </si>
  <si>
    <t>Договор</t>
  </si>
  <si>
    <t>(наименование организации)</t>
  </si>
  <si>
    <t>(Реквизиты договора на поставку)</t>
  </si>
  <si>
    <t>2. Подготовка продукции к контролю по НТД:</t>
  </si>
  <si>
    <t>(выполнена/не выполнена)</t>
  </si>
  <si>
    <t>3. При входном контроле проведены следующие контрольные мероприятия:</t>
  </si>
  <si>
    <t>4. В результате проведенного входного контроля представленной продукции установлено:</t>
  </si>
  <si>
    <t>а) Сопроводительные документы</t>
  </si>
  <si>
    <t>б) Комплектность (в т.ч. ЗИП)</t>
  </si>
  <si>
    <t>(соотвествуют, не соотвествуют)</t>
  </si>
  <si>
    <t>(соотвествует, не соотвествует)</t>
  </si>
  <si>
    <t>в) Целостность и сохранность упаковки</t>
  </si>
  <si>
    <t>г) Выполнение консервации:</t>
  </si>
  <si>
    <t>д) Наличие ЗАК/протокола КДО:</t>
  </si>
  <si>
    <t>Проверенная продукция для последующего применения признана</t>
  </si>
  <si>
    <t>(пригодной/непригодной)</t>
  </si>
  <si>
    <t>и</t>
  </si>
  <si>
    <t>к применению</t>
  </si>
  <si>
    <t>(указать последующие действия с пригодной продукцией)</t>
  </si>
  <si>
    <t>(допущена/не допущена)</t>
  </si>
  <si>
    <t>Продукция признана непригодной по следующим причинам:</t>
  </si>
  <si>
    <t>(указать причины отбраковки, документальные результаты контроля,</t>
  </si>
  <si>
    <t>протоколы, испытания и прочие документы)</t>
  </si>
  <si>
    <t>Непригодная продукция подлежит</t>
  </si>
  <si>
    <t>(указать последующие действия с непригодной продукцией)</t>
  </si>
  <si>
    <t>Председатель:</t>
  </si>
  <si>
    <t>(Должность, организация, подпись, Фамилия И.О.)</t>
  </si>
  <si>
    <t>Члены комиссии:</t>
  </si>
  <si>
    <t>Присутствующие:</t>
  </si>
  <si>
    <t>Особые отметки:</t>
  </si>
  <si>
    <t>Кол-во в партии</t>
  </si>
  <si>
    <t>Приложение 3
к Положению</t>
  </si>
  <si>
    <t xml:space="preserve">  УЧЕТА РЕЗУЛЬТАТОВ ВХОДНОГО КОНТРОЛЯ</t>
  </si>
  <si>
    <t xml:space="preserve">  ПРОДУКЦИИ ДЛЯ СТРОИТЕЛЬСТВА, РЕКОНСТРУКЦИИ</t>
  </si>
  <si>
    <t>(Наименование объекта строительства, реконструкции)</t>
  </si>
  <si>
    <t>(Наименование организации)</t>
  </si>
  <si>
    <t>Дата
акта входного контроля</t>
  </si>
  <si>
    <t>№ акта входного контроля</t>
  </si>
  <si>
    <t>Наименование продукции (тип, марка, обозначение НТД)</t>
  </si>
  <si>
    <t>Поставщик продукции</t>
  </si>
  <si>
    <t>Предприятие - изготовитель продукции</t>
  </si>
  <si>
    <t>№ партии, заводской номер</t>
  </si>
  <si>
    <t>Количество, масса, объем проверенной продукции (в ед. изм.)</t>
  </si>
  <si>
    <t>Заключение о соответствии продукции требованиям НТД</t>
  </si>
  <si>
    <t>Подтверждение представителя строительного контроля Заказчика о выполнении в полном объеме процедуры входного контроля</t>
  </si>
  <si>
    <t>Дата поступления</t>
  </si>
  <si>
    <t>Реквизиты документа о качестве продукции (Изготовитель, выдавший документ, номер и дата выдачи)</t>
  </si>
  <si>
    <t>Количество, масса, объем продукции в партии (в ед. изм.)</t>
  </si>
  <si>
    <t>Количество, масса, объем поступившей продукции (в ед. изм.)</t>
  </si>
  <si>
    <t>Дата передачи образцов (проб) на испытания</t>
  </si>
  <si>
    <t>Номер и дата протокола испытаний образцов (проб)</t>
  </si>
  <si>
    <t>Подпись ответственного лица выполнившего входной контроль продукции</t>
  </si>
  <si>
    <t>Лист регистрации актов входного контроля продукции для строительства получаемой или приобретаемой по спецификации, представленной в составе рабочей документации</t>
  </si>
  <si>
    <t>Лист 1</t>
  </si>
  <si>
    <t>Лист 2</t>
  </si>
  <si>
    <t>Лист учета результатов входного контроля приобретаемой продукции для строительства не учтенной в спецификациях рабочей документации</t>
  </si>
  <si>
    <t>ООО "Ясень-Электро"</t>
  </si>
  <si>
    <t>соответствует</t>
  </si>
  <si>
    <t>ПАО "Россети Ленэнерго"</t>
  </si>
  <si>
    <t>соответствуют</t>
  </si>
  <si>
    <t>пригодной</t>
  </si>
  <si>
    <t>допущена</t>
  </si>
  <si>
    <t>к монтажу</t>
  </si>
  <si>
    <t>выполнена</t>
  </si>
  <si>
    <t>Приказом ПАО «Россети Ленэнерго» от 20.01.2020 г. №16 «Положение по организации и осуществлению входного контроля продукции для строительства и реконструкции объектов электросетевого комплекса ПAO «Ленэнерго»</t>
  </si>
  <si>
    <t>Строительство двухтрансформаторной КТПН-6/0,4кВ с установкой двух трансформаторов мощностью не менее 0,160 МВА каждый, 2КЛ-6кВ длиной 2х0,4км, в том числе методом ГНБ длиной 2х0,25км, 2КЛ-0,4кВ длиной 2х0,02км, 2ВЛ-0,4км длиной 2х0,03км для технологического присоединения энергопринимающих устройств заявителя ИП Соболев В.В. по адресу: Ленинградская область, Ломоносовский район, МО «Низинское сельское поселение», деревня «Троицкая Гора», квартал 8, уч. 3 (22-036576)</t>
  </si>
  <si>
    <t>.</t>
  </si>
  <si>
    <t>Дата
доставки</t>
  </si>
  <si>
    <t>Наименование материалов, изделий, конструкций, оборудования</t>
  </si>
  <si>
    <t>Кол-во</t>
  </si>
  <si>
    <t>Поставщик</t>
  </si>
  <si>
    <t>Наименование и номер документа изготовителя</t>
  </si>
  <si>
    <t>Результат проверки сопроводительных документов производителя и визуального осмотра на соответствие требованиям утверждённой проектной документации и соответствующим документам по стандартизации</t>
  </si>
  <si>
    <t>Решение о необходимости проведения лабораторного контроля</t>
  </si>
  <si>
    <t>Результат лабораторного контроля</t>
  </si>
  <si>
    <t>Подпись лица, осуществляющего контроль</t>
  </si>
  <si>
    <t>Указывается сквозной порядковый номер строки/МТР.</t>
  </si>
  <si>
    <t>Дата проведения контроля получаемых деталей, материалов, конструкций и оборудования.</t>
  </si>
  <si>
    <t>Указывается наименование материала или оборудования подлежащего входному контролю. Желательно писать полное наименование МТР или оборудования с указанием заводских номеров (при наличии)</t>
  </si>
  <si>
    <t>Пишется количество и единица измерения деталей, конструкций или оборудования.</t>
  </si>
  <si>
    <t>Указывается поставщик. Обычно поставщиком является завод изготовитель (указывается в паспорте и товарной накладной)</t>
  </si>
  <si>
    <t>В данный столбик вносится номера и даты сопроводительной документации, таких как сертификат, паспорт на изделие, номер партии. Если документ не имеет номера, то пишем к примеру: б/н от 02.09.2022г. (б/н- без номера). Также по специфике МТР и необходимости сюда же вносят акты испытаний, ревизий. Если материалы и оборудование не проектное, то вносится номер и дата письма о согласовании с проектным институтом или Заказчиком.</t>
  </si>
  <si>
    <t>Результат проверки сопроводительных документов производителя и визуального осмотра на соответствие требованиям утверждённой проектной документации и соответствующим документам по стандартизации. (Проверяются паспорта или сертификаты, осматривают визуально изделие на предмет соответствия с проектом либо с рабочей документацией и пишется результат проверки.</t>
  </si>
  <si>
    <t>Решение о необходимости проведения лабораторного контроля. Однозначного понимания пока нет, что именно тут писать. В данном столбце необходимо обозначить нужен лабораторный контроль или нет.</t>
  </si>
  <si>
    <t>Результат лабораторного контроля.</t>
  </si>
  <si>
    <t>Сотрудником строительной организации производивший приемку МТР ставится подпись.</t>
  </si>
  <si>
    <t>По окончании ведения журнала, для закрытия делается запись «Журнал закрыт», ставится дата, подпись, фамилия и инициалы проверяющего.</t>
  </si>
  <si>
    <t>-</t>
  </si>
  <si>
    <t>Соответствуют</t>
  </si>
  <si>
    <t>Годен</t>
  </si>
  <si>
    <t xml:space="preserve">ЖУРНАЛ </t>
  </si>
  <si>
    <t xml:space="preserve">УЧЕТА РЕЗУЛЬТАТОВ ВХОДНОГО КОНТРОЛЯ </t>
  </si>
  <si>
    <t>ПРОДУКЦИИ ДЛЯ СТРОИТЕЛЬСТВА, РЕКОНСТРУКЦИИ</t>
  </si>
  <si>
    <t>Начало работ</t>
  </si>
  <si>
    <t>Окончание работ</t>
  </si>
  <si>
    <t>КТО</t>
  </si>
  <si>
    <t>Должность</t>
  </si>
  <si>
    <t>Фамилия Имя Отчество</t>
  </si>
  <si>
    <t>ФИО</t>
  </si>
  <si>
    <t>Генподрядчик</t>
  </si>
  <si>
    <t>Производитель работ</t>
  </si>
  <si>
    <t xml:space="preserve">Тех надзор </t>
  </si>
  <si>
    <t>Представители иных лиц</t>
  </si>
  <si>
    <t>№ ЗАК</t>
  </si>
  <si>
    <t>1 шт.</t>
  </si>
  <si>
    <t>Комплектная однотрансформаторная подстанция проходного типа наружной установки мощностью 400 кВА напряжением 10/0,4кВ. 2хКТПП-400/10/0,4</t>
  </si>
  <si>
    <t>1 компл</t>
  </si>
  <si>
    <t>ООО "Сарапульский электромеханический завод"</t>
  </si>
  <si>
    <t>Декаларация о соответствии №РОСС RU Д-RU.РА01.В.10969/22 с 28.03.2022 до 27.03.2025</t>
  </si>
  <si>
    <t>Трансформатор силовой 3-х фазный с естественным масляным охлаждением 400 кВА, напряжением 10кВ ТМГ21-400-10/0,4</t>
  </si>
  <si>
    <t xml:space="preserve">ОАО "МИНСКИЙ ЭЛЕКТРОТЕХНИЧЕСКИЙ ЗАВОД ИМЕНИ В.И. КОЗЛОВА" </t>
  </si>
  <si>
    <t>Паспорт №Р-27924407</t>
  </si>
  <si>
    <t>Паспорт №Р-14953758</t>
  </si>
  <si>
    <t>Силовой кабель на напряжение до 10 кВ с алюминиевыми жилами, с бумажной изоляцией, бронированный, сечением 3х240 (масса 1 км 7760кг) АСБ2л-10 3х240</t>
  </si>
  <si>
    <t>ООО "Камкабель"</t>
  </si>
  <si>
    <t>Сертификат соответствия №RU C-RU.АЖ03.В.00123/21 с 24.06.2021 по 23.06.2026г</t>
  </si>
  <si>
    <t>Муфта концевая для одножильного кабеля сечением 95кв.мм ПКВтО-10-95</t>
  </si>
  <si>
    <t>4 компл</t>
  </si>
  <si>
    <t>ООО "Научно-производственное предприятие "ЭРГ"</t>
  </si>
  <si>
    <t>Сертификат соответствия №РОСС RU.HB61.H22663 срок действия с 14.04.2021 по 13.04.2024</t>
  </si>
  <si>
    <t>Муфта концевая  КВТП-10-150/240</t>
  </si>
  <si>
    <t>4 шт.</t>
  </si>
  <si>
    <t>Муфта кабельная соединительная на напряжение 10 кВ для 3-х жильных кабелей с бумажной изоляцией СТП-10-150/240-Л</t>
  </si>
  <si>
    <t>Труба защитная полимерная двухслойная термостойкая для прокладки электрических кабелей, ТЗК ЭНЕРГОПЛАСТ ТС3 DN160Х8,9 SN 16 ТУ 22.21.21-002-16073610-2019</t>
  </si>
  <si>
    <t>ООО "ЭНЕРГОПЛАСТ"</t>
  </si>
  <si>
    <t>Сертификат соответствия № ФЦС RU.В1447.ПР12.056 от 01.06.2021 сроком действия до 31.05.2024</t>
  </si>
  <si>
    <t>IЗ-81/22</t>
  </si>
  <si>
    <t>Отсутствует</t>
  </si>
  <si>
    <t>IП-57/22</t>
  </si>
  <si>
    <t>IЗ-200/22</t>
  </si>
  <si>
    <t>1107,7 м</t>
  </si>
  <si>
    <t>10 шт.</t>
  </si>
  <si>
    <t>1666,3 м</t>
  </si>
  <si>
    <t>Журнал закрыт 20.05.2024</t>
  </si>
  <si>
    <t>IЗ-104/22</t>
  </si>
  <si>
    <t>!!!</t>
  </si>
  <si>
    <t>Силовой масляный трансформатор</t>
  </si>
  <si>
    <t>ОАО "МИНСКИЙ ЭЛЕКТРОТЕХНИЧЕСКИЙ ЗАВОД ИМЕНИ В.И. КОЗЛОВА</t>
  </si>
  <si>
    <t>ЗАО "Митеп-Волга"</t>
  </si>
  <si>
    <t>Сертификат соответствия №РОСС BY.HB61.H30298 от 09.11.2021 сроком действия до 08.11.2024</t>
  </si>
  <si>
    <t>Приложение И, СП 48.13330.2019</t>
  </si>
  <si>
    <t xml:space="preserve">  ВХОДНОГО УЧЕТА И КОНТРОЛЯ КАЧЕСТВА ПОЛУЧАЕМЫХ ДЕТАЛЕЙ,</t>
  </si>
  <si>
    <t xml:space="preserve">  МАТЕРИАЛОВ, ИЗДЕЛИЙ, КОНСТРУКЦИЙ И ОБОРУДОВАНИЯ</t>
  </si>
  <si>
    <t>Наименование объекта</t>
  </si>
  <si>
    <t>Адрес объекта</t>
  </si>
  <si>
    <t>ЛО, Всеволожский район, Щегловское СП (22-012300 и др.)</t>
  </si>
  <si>
    <t>Наименование строительной организации</t>
  </si>
  <si>
    <t>IД-72/22</t>
  </si>
  <si>
    <t>Дата поступл.</t>
  </si>
  <si>
    <t>Наименование продукции</t>
  </si>
  <si>
    <t>Количество
(масса),
партия,
номер</t>
  </si>
  <si>
    <t>Изготовитель/
Поставщик</t>
  </si>
  <si>
    <t>Сертификат
качества
(паспорт,
накладная)</t>
  </si>
  <si>
    <t>Вид контроля
(визуальный,
инструментальный,
лабораторный)</t>
  </si>
  <si>
    <t>Заключение
о соответствии,
подпись лица,
ответственного
за входной
контроль</t>
  </si>
  <si>
    <t>Визуальный</t>
  </si>
  <si>
    <t>Соответствует
Шлёнский С.В.</t>
  </si>
  <si>
    <t>ООО «Тд «Электротехмонтаж»</t>
  </si>
  <si>
    <t>Накладная №751</t>
  </si>
  <si>
    <t>Разъединитель РЕ19</t>
  </si>
  <si>
    <t>Контроллер  STEMAX MX840</t>
  </si>
  <si>
    <t>Ограничитель перенапряжения ОПН-П-0,4/0,4/5/300 УХЛ 1</t>
  </si>
  <si>
    <t>12 шт.</t>
  </si>
  <si>
    <t>Выключатель автоматический ВА55-43</t>
  </si>
  <si>
    <t>Трансформаторы тока измерительные ТТК</t>
  </si>
  <si>
    <t>24 шт.</t>
  </si>
  <si>
    <t>труба стальная ∅76мм L=3000мм</t>
  </si>
  <si>
    <t>64 шт.</t>
  </si>
  <si>
    <t>Петрович</t>
  </si>
  <si>
    <t>Накладная №480365203</t>
  </si>
  <si>
    <t>уголок стальной 40х40х4 ГОСТ 8509-93</t>
  </si>
  <si>
    <t>155,32 шт.</t>
  </si>
  <si>
    <t>сетка рабица с яч.50х50мм шириной 1500мм</t>
  </si>
  <si>
    <t>92,8 шт.</t>
  </si>
  <si>
    <t>ворота каркас 3000х1500мм</t>
  </si>
  <si>
    <t>проволока стальная ∅3мм</t>
  </si>
  <si>
    <t>64 м</t>
  </si>
  <si>
    <t>Сталь полосовая 50х5 ГОСТ 103-2006</t>
  </si>
  <si>
    <t>152,22 м</t>
  </si>
  <si>
    <t>ООО
"Конкорд"</t>
  </si>
  <si>
    <t>Информационное
письмо №1157 от
26.10.2016 "Центр
Декларирования
Сертификации" (ООО
"ЦДС)"</t>
  </si>
  <si>
    <t>Сталь угловая 63х63х6 ГОСТ 8509-93</t>
  </si>
  <si>
    <t>108 м</t>
  </si>
  <si>
    <t>Блоки ФБС</t>
  </si>
  <si>
    <t>Щебень гранитный марки 1200-1000 фр. 20-40</t>
  </si>
  <si>
    <t>16,84 м3</t>
  </si>
  <si>
    <t>АО "ЛСР.БАЗОВЫЕ МАТЕРИАЛЫ"</t>
  </si>
  <si>
    <t>Декларация о соответствии ЕАЭС №RU Д-RU.РА01.В.11071/21 от 03.06.2021 сроком действия до 02.06.2026</t>
  </si>
  <si>
    <t>Песок</t>
  </si>
  <si>
    <t>26,16 м3</t>
  </si>
  <si>
    <t>ООО "ДК "Горизонт"</t>
  </si>
  <si>
    <t xml:space="preserve">Паспорт №31/08/22 от 31.08.2022 </t>
  </si>
  <si>
    <t>Грунт плодородный</t>
  </si>
  <si>
    <t>61,94 м3</t>
  </si>
  <si>
    <t>Газон Опт Торг</t>
  </si>
  <si>
    <t>Накладная №07/06/211</t>
  </si>
  <si>
    <t>Семена газонных трав</t>
  </si>
  <si>
    <t>7,41 кг</t>
  </si>
  <si>
    <t>Изолирующая штанга оперативная на 10кВ</t>
  </si>
  <si>
    <t>Накладная №779</t>
  </si>
  <si>
    <t>Переносное заземление сечением 95кв.мм</t>
  </si>
  <si>
    <t>Ящик с совком для песка.</t>
  </si>
  <si>
    <t>6 шт.</t>
  </si>
  <si>
    <t>Накладная №480365311</t>
  </si>
  <si>
    <t>Предупреждающие знаки</t>
  </si>
  <si>
    <t>4 компл.</t>
  </si>
  <si>
    <t>ТД "Вектор"</t>
  </si>
  <si>
    <t>Накладная №12582/ЭМ110</t>
  </si>
  <si>
    <t xml:space="preserve">Стойка </t>
  </si>
  <si>
    <t>Провод силовой с алюминиевой жилой и изоляцией из ПВХ пластиката</t>
  </si>
  <si>
    <t>26 м</t>
  </si>
  <si>
    <t>Накладная №811</t>
  </si>
  <si>
    <t>Изолятор штыревой</t>
  </si>
  <si>
    <t>Колпачек</t>
  </si>
  <si>
    <t xml:space="preserve">Зажим ответвительный </t>
  </si>
  <si>
    <t>Защитный кожух</t>
  </si>
  <si>
    <t>Плашечный зажим</t>
  </si>
  <si>
    <t>32 шт.</t>
  </si>
  <si>
    <t>Бандажная лента</t>
  </si>
  <si>
    <t>Скрепа</t>
  </si>
  <si>
    <t>20 шт.</t>
  </si>
  <si>
    <t>Заземляющий проводник, сталь круглая ∅10 мм ГОСТ 2590-2006</t>
  </si>
  <si>
    <t>32 м</t>
  </si>
  <si>
    <t>Проводник заземляющий</t>
  </si>
  <si>
    <t>28 шт.</t>
  </si>
  <si>
    <t>Ограничитель перенапряжения</t>
  </si>
  <si>
    <t>Зажим аппаратный ТУ 34 13.11404-90 А2А-95</t>
  </si>
  <si>
    <t>18 шт.</t>
  </si>
  <si>
    <t>8 шт.</t>
  </si>
  <si>
    <t xml:space="preserve">Полимер EZ-MUD  </t>
  </si>
  <si>
    <t>2,078 т</t>
  </si>
  <si>
    <t>ООО «Эверест»</t>
  </si>
  <si>
    <t>Паспорт безопасности
EZ-MUD №43 от 24.05.2019</t>
  </si>
  <si>
    <t xml:space="preserve">Испытательная клеммная коробка ПАО "Россети Ленэнерго" </t>
  </si>
  <si>
    <t>2 шт.</t>
  </si>
  <si>
    <t xml:space="preserve">ПАО "Россети Ленэнерго" </t>
  </si>
  <si>
    <t>Накладная №29122</t>
  </si>
  <si>
    <t xml:space="preserve">Счетчик 3-х фазный типа Меркурий 234 ARTХ2-03(D)PR 3х230/400В, 5(10)А, кл.т.0,5S/1. </t>
  </si>
  <si>
    <t>3 шт</t>
  </si>
  <si>
    <t>ООО "НПК "ИНКОТЕКС"</t>
  </si>
  <si>
    <t>Формуляр №49421335 от 18.09.2023;
Формуляр №49456357 от 04.12.2023;
Формуляр №49455651 от 01.12.2023</t>
  </si>
  <si>
    <t xml:space="preserve">Трансформаторы тока 800/5А типа ТШП-0,66 кл.0,5S (для учета) </t>
  </si>
  <si>
    <t>6 шт</t>
  </si>
  <si>
    <t>IEK GROUP</t>
  </si>
  <si>
    <t>Накладная №00001231</t>
  </si>
  <si>
    <t xml:space="preserve">Кабель силовой АПвВнг-LS-10 1х95/35 </t>
  </si>
  <si>
    <t>12 м</t>
  </si>
  <si>
    <t>ООО «ТК «КСС»</t>
  </si>
  <si>
    <t>Накладная №3121</t>
  </si>
  <si>
    <t>Ст. полоса Б-2  50х5мм ст.3</t>
  </si>
  <si>
    <t>26 м / 51,0кг</t>
  </si>
  <si>
    <t>ООО "Конкорд"</t>
  </si>
  <si>
    <t>Информационное письмо №1157 от 26.10.2016 "Центр Декларирования Сертификации" (ООО "ЦДС)"</t>
  </si>
  <si>
    <t>Сталь прокатная уголовая равнополочная  63х63х5мм</t>
  </si>
  <si>
    <t>36м / 230,88кг</t>
  </si>
  <si>
    <t xml:space="preserve">Болт для заземления трансформатора. </t>
  </si>
  <si>
    <t>Блок фундаментный ФБС-24-6-6</t>
  </si>
  <si>
    <t>8 шт</t>
  </si>
  <si>
    <t xml:space="preserve">Сталь угловая размером Б-2 75х75х7мм ст.3 </t>
  </si>
  <si>
    <t>152,83 кг</t>
  </si>
  <si>
    <t xml:space="preserve">Замок навесной </t>
  </si>
  <si>
    <t>10 шт</t>
  </si>
  <si>
    <t xml:space="preserve">Щебень гранитный марки 1200-600 фр.40-70мм </t>
  </si>
  <si>
    <t>2,1 м3</t>
  </si>
  <si>
    <t xml:space="preserve">Песок природный для строительных: работ средний с крупностью зерен размером свыше 5 мм-до 5% по массе  </t>
  </si>
  <si>
    <t>242 м3</t>
  </si>
  <si>
    <t xml:space="preserve">Бетон марки В15 F50 W4 </t>
  </si>
  <si>
    <t>0,19м3 / 429 кг</t>
  </si>
  <si>
    <t>АО "Группа Компаний "Монолит"</t>
  </si>
  <si>
    <t>Документ о качестве бетонной смеси №000364646</t>
  </si>
  <si>
    <t>Краска антикоррозиционная ОС-12-03</t>
  </si>
  <si>
    <t>6,6 кг</t>
  </si>
  <si>
    <t xml:space="preserve">Уголок стальной 32х32х4мм </t>
  </si>
  <si>
    <t>174,3 кг</t>
  </si>
  <si>
    <t xml:space="preserve">Полоса стальная 4х30мм </t>
  </si>
  <si>
    <t>22,0 кг</t>
  </si>
  <si>
    <t xml:space="preserve">Стальной лист в=2мм </t>
  </si>
  <si>
    <t>4,3 кг</t>
  </si>
  <si>
    <t xml:space="preserve">Сетка №25х25 шириной 1960х1880 мм </t>
  </si>
  <si>
    <t>56,4 кг</t>
  </si>
  <si>
    <t xml:space="preserve">Проволока Ø4мм </t>
  </si>
  <si>
    <t>10,3 кг</t>
  </si>
  <si>
    <t xml:space="preserve">Труба водогазопроводная Ø 80 мм (L=2400мм) </t>
  </si>
  <si>
    <t>14 шт / 199кг</t>
  </si>
  <si>
    <t xml:space="preserve">Двухстворчатая дверь </t>
  </si>
  <si>
    <t>2 к-т / 304кг</t>
  </si>
  <si>
    <t xml:space="preserve">Лестница наружная 1200мм </t>
  </si>
  <si>
    <t>2 шт</t>
  </si>
  <si>
    <t xml:space="preserve">Лестница наружная 1800мм </t>
  </si>
  <si>
    <t>4 шт</t>
  </si>
  <si>
    <t xml:space="preserve">Ящик с совком для песка V=0.5 м3  </t>
  </si>
  <si>
    <t xml:space="preserve">Песок фасованный в мешки по 3 кг </t>
  </si>
  <si>
    <t>750 кг</t>
  </si>
  <si>
    <t xml:space="preserve">Огнезащитная монтажная пена (750мм)  </t>
  </si>
  <si>
    <t xml:space="preserve">Бирка маркировочная   </t>
  </si>
  <si>
    <t xml:space="preserve">Токоизмерительные клещи </t>
  </si>
  <si>
    <t>1 шт</t>
  </si>
  <si>
    <t xml:space="preserve">Диэлектрические перчатки </t>
  </si>
  <si>
    <t xml:space="preserve">Диэлектрические галоши </t>
  </si>
  <si>
    <t xml:space="preserve">Переносное заземление сечением 95 мм кв.  </t>
  </si>
  <si>
    <t>Штанга изолирующая оперативная  ШЗП-15</t>
  </si>
  <si>
    <t xml:space="preserve">Указатель напряжения 10 кВ </t>
  </si>
  <si>
    <t xml:space="preserve">Указатель напряжения 0,4 кВ </t>
  </si>
  <si>
    <t xml:space="preserve">Предупредительные плакаты и знаки </t>
  </si>
  <si>
    <t xml:space="preserve">Табличка </t>
  </si>
  <si>
    <t xml:space="preserve">Смесь семян «Универсальный газон» </t>
  </si>
  <si>
    <t>1,8 кг</t>
  </si>
  <si>
    <t xml:space="preserve">Земля растительная </t>
  </si>
  <si>
    <t>18,81 м3</t>
  </si>
  <si>
    <t xml:space="preserve">Минеральные удобрения </t>
  </si>
  <si>
    <t xml:space="preserve">Плодородный грунт  </t>
  </si>
  <si>
    <t>392,8 м3</t>
  </si>
  <si>
    <t xml:space="preserve">Семена газонных трав  </t>
  </si>
  <si>
    <t>39,28 кг</t>
  </si>
  <si>
    <t xml:space="preserve"> </t>
  </si>
  <si>
    <t>Нумерация для АВК</t>
  </si>
  <si>
    <t>Паспорт</t>
  </si>
  <si>
    <r>
      <t>Кабель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силовой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с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изоляцией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сшитого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полиэтилена,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сеч.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150</t>
    </r>
  </si>
  <si>
    <r>
      <t>АПвПу2г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1х150/70</t>
    </r>
  </si>
  <si>
    <t>м</t>
  </si>
  <si>
    <r>
      <t>Муфта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соединительная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кабельная</t>
    </r>
  </si>
  <si>
    <t>ПСТ(с)-О-10-150...240</t>
  </si>
  <si>
    <t>компл</t>
  </si>
  <si>
    <r>
      <t>Муфта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концевая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кабельная</t>
    </r>
  </si>
  <si>
    <t>ПКВТ(Н)-О-10-150...240</t>
  </si>
  <si>
    <t>шт</t>
  </si>
  <si>
    <r>
      <t>Труба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ПЭ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ЭНЕРГОПЛАСТ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ТС3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DN160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SN32</t>
    </r>
  </si>
  <si>
    <r>
      <t>Плита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пеноплекс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1200х600х100</t>
    </r>
  </si>
  <si>
    <r>
      <t>Уплотнитель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кабельных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проходов</t>
    </r>
  </si>
  <si>
    <t>УкПт-Р-175/50</t>
  </si>
  <si>
    <r>
      <t>Заглушка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для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ПЭ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труб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φ160</t>
    </r>
  </si>
  <si>
    <r>
      <t>Плита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закрытия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кабеля</t>
    </r>
  </si>
  <si>
    <r>
      <t>ПЗК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240х480х16</t>
    </r>
  </si>
  <si>
    <r>
      <t>Песок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строительный</t>
    </r>
  </si>
  <si>
    <t>м3</t>
  </si>
  <si>
    <r>
      <t>Асфальтобетон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крупнозернистый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плотный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тип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А,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марка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I</t>
    </r>
  </si>
  <si>
    <r>
      <t>Асфальтобетон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мелкозернистый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плотного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тип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А,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марка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I</t>
    </r>
  </si>
  <si>
    <r>
      <t>Щебень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М1200,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фр.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40-70</t>
    </r>
  </si>
  <si>
    <r>
      <t>Битумная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эмульсия</t>
    </r>
  </si>
  <si>
    <r>
      <t>ГОСТ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Р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52128-2003</t>
    </r>
  </si>
  <si>
    <t>кг</t>
  </si>
  <si>
    <r>
      <t>Грунт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плодородный</t>
    </r>
  </si>
  <si>
    <r>
      <t>Семена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газонных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трав</t>
    </r>
  </si>
  <si>
    <t>Бентонит</t>
  </si>
  <si>
    <t>т</t>
  </si>
  <si>
    <t>Полимер</t>
  </si>
  <si>
    <r>
      <t>Supra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Xan</t>
    </r>
  </si>
  <si>
    <t>Вода</t>
  </si>
  <si>
    <r>
      <t>ТУ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22.21.21-002-16073610-2019</t>
    </r>
  </si>
  <si>
    <r>
      <t>Кабельный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киоск</t>
    </r>
  </si>
  <si>
    <t>КЛ-211</t>
  </si>
  <si>
    <r>
      <t>Сталь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угловая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63х63х6</t>
    </r>
  </si>
  <si>
    <r>
      <t>Сталь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листовая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толщиной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2мм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950х400</t>
    </r>
  </si>
  <si>
    <r>
      <t>Сталь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листовая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толщиной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2мм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380х400</t>
    </r>
  </si>
  <si>
    <r>
      <t>Сталь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полосовая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40х4</t>
    </r>
  </si>
  <si>
    <r>
      <t>Бирка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"Домик"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маркировочная</t>
    </r>
  </si>
  <si>
    <t>150х100х2мм</t>
  </si>
  <si>
    <r>
      <t>Кабельные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стяжки</t>
    </r>
  </si>
  <si>
    <t>2,5х100</t>
  </si>
  <si>
    <r>
      <t>Щебень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М1200,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фр.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20-40</t>
    </r>
  </si>
  <si>
    <r>
      <t>Кабель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силовой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с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изоляцией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сшитого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полиэтилена,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сеч.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240</t>
    </r>
  </si>
  <si>
    <r>
      <t>АПвБШп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4х240</t>
    </r>
  </si>
  <si>
    <t>4ПКВНТпН-Б-1-150...240</t>
  </si>
  <si>
    <r>
      <t>Кирпич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полнотелый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250х120х65</t>
    </r>
  </si>
  <si>
    <t>Super bore</t>
  </si>
  <si>
    <t>Труба ПЭ ЭНЕРГОПЛАСТ ТС2 DN160 SN16</t>
  </si>
  <si>
    <t>ТУ 22.21.21-002-16073610-2019</t>
  </si>
  <si>
    <t>ООО "АБЛОК ЖБИ"</t>
  </si>
  <si>
    <t>Накладная 171812.24</t>
  </si>
  <si>
    <t>Паспорт качества №01138/24 от 10.2024; Сертификат соответсвия №СЭН0.RU.1705.Н00065 с 07.02.2024 по 06.02.2027</t>
  </si>
  <si>
    <t>ПО "Энергокомплект"</t>
  </si>
  <si>
    <t>Протокол приемо-сдаточных испытаний №2961320 от 24.08.2024 г.</t>
  </si>
  <si>
    <t xml:space="preserve">Блок ФБС 24.4.6. </t>
  </si>
  <si>
    <t xml:space="preserve">Труба ПЭ гофрированная Д=160мм </t>
  </si>
  <si>
    <t>7/35 шт/м</t>
  </si>
  <si>
    <t xml:space="preserve">Песок строительный </t>
  </si>
  <si>
    <t>4,72 м3</t>
  </si>
  <si>
    <t xml:space="preserve">Щебень М1200, фр. 20-40 </t>
  </si>
  <si>
    <t>5,4 м3</t>
  </si>
  <si>
    <t xml:space="preserve">Сталь угловая 50х50х5 для обвязки блоков </t>
  </si>
  <si>
    <t>23,6 м</t>
  </si>
  <si>
    <t xml:space="preserve">Сталь угловая 63х63х6, L=2,5м </t>
  </si>
  <si>
    <t xml:space="preserve">Сталь полосовая 50х5 </t>
  </si>
  <si>
    <t>28 м</t>
  </si>
  <si>
    <t>Зажимы для ВН М12х1,75</t>
  </si>
  <si>
    <t>Зажимы для НН М27х1,5</t>
  </si>
  <si>
    <t xml:space="preserve">Информационная табличка на ТП </t>
  </si>
  <si>
    <t>Кабель силовой с изоляцией сшитого полиэтилена, сеч. 150 АПвПу2г 1х150/70</t>
  </si>
  <si>
    <t>5711,15 м</t>
  </si>
  <si>
    <t>Кабель силовой с изоляцией сшитого полиэтилена, сеч. 240 АПвБШп 4х240</t>
  </si>
  <si>
    <t>402,96 м</t>
  </si>
  <si>
    <t>Муфта соединительная кабельная ПСТ(с)-О-10-150...240</t>
  </si>
  <si>
    <t>21 компл</t>
  </si>
  <si>
    <t>Муфта концевая кабельная ПКВТ(Н)-О-10-150...240</t>
  </si>
  <si>
    <t>Труба ПЭ ЭНЕРГОПЛАСТ ТС3 DN160 SN32 ТУ 22.21.21-002-16073610-2019</t>
  </si>
  <si>
    <t>1360,3 м</t>
  </si>
  <si>
    <t>Труба ПЭ ЭНЕРГОПЛАСТ ТС2 DN160 SN16 ТУ 22.21.21-002-16073610-2019</t>
  </si>
  <si>
    <t>158,46 м</t>
  </si>
  <si>
    <t xml:space="preserve">Плита пеноплекс 1200х600х100 </t>
  </si>
  <si>
    <t>252 шт</t>
  </si>
  <si>
    <t>Уплотнитель кабельных проходов УкПт-Р-175/50</t>
  </si>
  <si>
    <t>52 шт</t>
  </si>
  <si>
    <t xml:space="preserve">Заглушка для ПЭ труб φ160 </t>
  </si>
  <si>
    <t>18 шт</t>
  </si>
  <si>
    <t>Плита закрытия кабеля ПЗК 240х480х16</t>
  </si>
  <si>
    <t>2706 шт</t>
  </si>
  <si>
    <t>240,72 м3</t>
  </si>
  <si>
    <t>Бентонит Super bore</t>
  </si>
  <si>
    <t>26,415 т</t>
  </si>
  <si>
    <t>Полимер Supra Xan</t>
  </si>
  <si>
    <t>2,6415 т</t>
  </si>
  <si>
    <t xml:space="preserve">Вода </t>
  </si>
  <si>
    <t>1320,82 м3</t>
  </si>
  <si>
    <t>Кабельный киоск КЛ-211</t>
  </si>
  <si>
    <t xml:space="preserve">Сталь угловая 63х63х6 </t>
  </si>
  <si>
    <t>28,48 м</t>
  </si>
  <si>
    <t xml:space="preserve">Сталь листовая толщиной 2мм 950х400 </t>
  </si>
  <si>
    <t xml:space="preserve">Сталь листовая толщиной 2мм 380х400 </t>
  </si>
  <si>
    <t xml:space="preserve">Сталь полосовая 40х4 </t>
  </si>
  <si>
    <t>Бирка "Домик" маркировочная 150х100х2мм</t>
  </si>
  <si>
    <t>12 шт</t>
  </si>
  <si>
    <t>Кабельные стяжки 2,5х100</t>
  </si>
  <si>
    <t>0,4 м3</t>
  </si>
  <si>
    <t>Муфта концевая кабельная 4ПКВНТпН-Б-1-150...240</t>
  </si>
  <si>
    <t xml:space="preserve">Кирпич полнотелый 250х120х65 </t>
  </si>
  <si>
    <t>465 шт</t>
  </si>
  <si>
    <t xml:space="preserve">Асфальтобетон крупнозернистый плотный тип А, марка I </t>
  </si>
  <si>
    <t>4,875 м3</t>
  </si>
  <si>
    <t xml:space="preserve">Асфальтобетон мелкозернистый плотного тип А, марка I </t>
  </si>
  <si>
    <t xml:space="preserve">Щебень М1200, фр. 40-70 </t>
  </si>
  <si>
    <t>24,57 м3</t>
  </si>
  <si>
    <t>Битумная эмульсия ГОСТ Р 52128-2003</t>
  </si>
  <si>
    <t>28,67 кг</t>
  </si>
  <si>
    <t xml:space="preserve">Грунт плодородный </t>
  </si>
  <si>
    <t>2819,5 м3</t>
  </si>
  <si>
    <t xml:space="preserve">Семена газонных трав </t>
  </si>
  <si>
    <t>125,85 кг</t>
  </si>
  <si>
    <t>ООО "Нева-Электротех" Паспорт</t>
  </si>
  <si>
    <t>Накладная №412/12/2</t>
  </si>
  <si>
    <t>ООО "ЭМ КАБЕЛЬ"</t>
  </si>
  <si>
    <t>Паспорт качества №24ПТ 992 от 31.08.2024</t>
  </si>
  <si>
    <t>IП-50/24</t>
  </si>
  <si>
    <t>Паспорт качества б/н от 06.03.2023</t>
  </si>
  <si>
    <t>Ведущий инженер отдела строительного контроля АО "ЛЭСР"</t>
  </si>
  <si>
    <t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t>
  </si>
  <si>
    <t>ООО «СЭТ»</t>
  </si>
  <si>
    <t>Директор по строительству ООО «СЭТ»</t>
  </si>
  <si>
    <t>Потоцкий А.А.</t>
  </si>
  <si>
    <t>А.А. Потоцкий</t>
  </si>
  <si>
    <t>Начальник участка ООО «СЭТ»</t>
  </si>
  <si>
    <t>Ведущий инженер строительного контроля ООО «СЭТ»</t>
  </si>
  <si>
    <t>Кольцов А.Г.</t>
  </si>
  <si>
    <t xml:space="preserve">А.Г. Кольцов </t>
  </si>
  <si>
    <t>Сафуанова В.А.</t>
  </si>
  <si>
    <t>В.А. Сафуанова</t>
  </si>
  <si>
    <t>11 ноября</t>
  </si>
  <si>
    <t>12 ноября</t>
  </si>
  <si>
    <t>"11" ноября 2024</t>
  </si>
  <si>
    <t>"12" ноября  2024</t>
  </si>
  <si>
    <t>Соответствует
Нугуматов М.А.</t>
  </si>
  <si>
    <t>Монтажный комплект для установки РЛК на опору СВ110 в комплекте с кронштейном разъединителя, кронштейном привода, комплектом тяг h-6500 мм КМЧ РЛК</t>
  </si>
  <si>
    <t>1 компл.</t>
  </si>
  <si>
    <t>Привод разъединителя РЛК.1б-10.IV/400УХЛ1 ПР-01-07 УХЛ1</t>
  </si>
  <si>
    <t>Разъединитель линейный качающего типа, с полимерными изоляторами РЛК.1б-10.IV/630 УХЛ1</t>
  </si>
  <si>
    <t>Разрядник мультикамерный РМК-20-IV-УХЛ1</t>
  </si>
  <si>
    <t>Разрядник мультикамерный экранного типа РМКЭ-10-IV-УХЛ1</t>
  </si>
  <si>
    <t>30 шт.</t>
  </si>
  <si>
    <t>Устройство для наложения защитного заземления CE 3</t>
  </si>
  <si>
    <t>63 шт.</t>
  </si>
  <si>
    <t>Провод линии СИП-3 1х120</t>
  </si>
  <si>
    <t>18387 м</t>
  </si>
  <si>
    <t>Накладная №12582</t>
  </si>
  <si>
    <t>АО "НПО "Стример"</t>
  </si>
  <si>
    <t>Сертификат соответствия №РОСС RU.ЕФ01.Н00004-22 с 10.04.2022 по 09.04.2025</t>
  </si>
  <si>
    <t>ООО "КАСПИЙ-ЭЛЕКТРО"</t>
  </si>
  <si>
    <t>Сертификат соответствия РОСС RU.З2001.04ИБФ1.ОСП20.18595 с 20.04.2022 по 19.04.2025</t>
  </si>
  <si>
    <t>ООО "КЗ "ЦВЕТЛИТ"</t>
  </si>
  <si>
    <t>Паспорт качества №№24Т1-5845 от 21.07.2024 г.; Паспорт качества №№24Т1-5844 от 21.07.2024 г.; Паспорт качества №№24Т1-5847 от 21.07.2024 г; Паспорт качества №№24Т1-5851 от 21.07.2024 г.</t>
  </si>
  <si>
    <t>ООО "НИЛЕД"</t>
  </si>
  <si>
    <t>Сертификат соответствия №РОСС RU.НЕ06.Н05218 от 12.04.2023 сроком действия до 11.04.2026</t>
  </si>
  <si>
    <t>IЗ-159/20</t>
  </si>
  <si>
    <t>I3-224/15</t>
  </si>
  <si>
    <t>IЗ-206/20</t>
  </si>
  <si>
    <t>Накладная №814</t>
  </si>
  <si>
    <t>Накладная №480365325</t>
  </si>
  <si>
    <t>по Приказу №23/10/24-8 от 23.10.2024г. в составе:</t>
  </si>
  <si>
    <t>Нугуманов М.А.</t>
  </si>
  <si>
    <t xml:space="preserve">М.А. Нугуманов </t>
  </si>
  <si>
    <t>108 шт.</t>
  </si>
  <si>
    <t>Стойка железобетонная  СВ110-3,5 (у)</t>
  </si>
  <si>
    <t>7 шт.</t>
  </si>
  <si>
    <t>Заземляющий проводник ЗП1</t>
  </si>
  <si>
    <t>38,9 м</t>
  </si>
  <si>
    <t>Траверса ТМ63</t>
  </si>
  <si>
    <t>Траверса ТМ65</t>
  </si>
  <si>
    <t>Траверса ТМ66</t>
  </si>
  <si>
    <t>5 шт.</t>
  </si>
  <si>
    <t>Траверса ТМ67</t>
  </si>
  <si>
    <t>Траверса ТМ68</t>
  </si>
  <si>
    <t>Траверса ТМ73</t>
  </si>
  <si>
    <t>Траверса ТМ74</t>
  </si>
  <si>
    <t>Крепление подкоса У52</t>
  </si>
  <si>
    <t>Хомут Х51</t>
  </si>
  <si>
    <t>Зажим плашечный ПС-2-1</t>
  </si>
  <si>
    <t>184 шт.</t>
  </si>
  <si>
    <t>Вязка спиральная СВ 120</t>
  </si>
  <si>
    <t>Метал. лента 20x0,7x1000 мм F 207</t>
  </si>
  <si>
    <t>Изолятор штыревой ПШИ20</t>
  </si>
  <si>
    <t>Бугель для фиксации ленты NB 20</t>
  </si>
  <si>
    <t>Зажим анкерный PAZ 3</t>
  </si>
  <si>
    <t>168 шт.</t>
  </si>
  <si>
    <t>Изолятор подвесной SML 70/20ГС</t>
  </si>
  <si>
    <t>Зажим ответвительный RP 150</t>
  </si>
  <si>
    <t>99 шт.</t>
  </si>
  <si>
    <t>Зажим аппаратный  А2А-120</t>
  </si>
  <si>
    <t>42 шт.</t>
  </si>
  <si>
    <t>Колпачок К9</t>
  </si>
  <si>
    <t>Горизонтальный заземлитель ст. 4x40 L=9000</t>
  </si>
  <si>
    <t>Выпуск стальной  ст. 4x40 L =1300</t>
  </si>
  <si>
    <t>Видимый спуск стальной  Д 10 ц L=7800</t>
  </si>
  <si>
    <t>Вертикальный заземлитель ст. 63х6 L=3000</t>
  </si>
  <si>
    <t>Болт М20х260</t>
  </si>
  <si>
    <t>Гайка М20</t>
  </si>
  <si>
    <t>19 шт.</t>
  </si>
  <si>
    <t xml:space="preserve">Метизы </t>
  </si>
  <si>
    <t>20 кг</t>
  </si>
  <si>
    <t>Знак безопасности из металла оцинкованного толщиной не менее 0,5 мм, покрытого пленкой ЗБ "Не влезай, убьет!"</t>
  </si>
  <si>
    <t>Знак безопасности из металла оцинкованного толщиной не менее 0,5 мм, покрытого пленкой ЗБ "Охранная зона ЛЭП 10 кВ - 10 метров"</t>
  </si>
  <si>
    <t>Цинкосодержащая краска 2 кг/м²</t>
  </si>
  <si>
    <t>1 кг</t>
  </si>
  <si>
    <t>676 шт.</t>
  </si>
  <si>
    <t>1440 шт.</t>
  </si>
  <si>
    <t>33 шт.</t>
  </si>
  <si>
    <t>960 шт.</t>
  </si>
  <si>
    <t>120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</si>
</sst>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[$-F800]dddd\,\ mmmm\ dd\,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8"/>
      <name val="Times New Roman"/>
      <family val="1"/>
      <charset val="204"/>
    </font>
    <font>
      <sz val="10"/>
      <name val="MS Sans Serif"/>
      <family val="2"/>
      <charset val="204"/>
    </font>
    <font>
      <i/>
      <sz val="1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name val="Times New Roman"/>
      <family val="1"/>
      <charset val="204"/>
    </font>
    <font>
      <b/>
      <i/>
      <sz val="16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16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 Cyr"/>
      <family val="2"/>
      <charset val="204"/>
    </font>
    <font>
      <b/>
      <sz val="11"/>
      <name val="Arial Cyr"/>
      <charset val="204"/>
    </font>
    <font>
      <sz val="8"/>
      <name val="Arial Cyr"/>
      <family val="2"/>
      <charset val="204"/>
    </font>
    <font>
      <sz val="14"/>
      <name val="Calibri"/>
      <family val="2"/>
      <scheme val="minor"/>
    </font>
    <font>
      <sz val="11"/>
      <color theme="0" tint="-0.499984740745262"/>
      <name val="Times New Roman"/>
      <family val="1"/>
      <charset val="204"/>
    </font>
    <font>
      <sz val="11"/>
      <color theme="0" tint="-0.14999847407452621"/>
      <name val="Times New Roman"/>
      <family val="1"/>
      <charset val="204"/>
    </font>
    <font>
      <b/>
      <i/>
      <sz val="11"/>
      <color theme="0" tint="-0.1499984740745262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1"/>
      <color rgb="FF3F3F3F"/>
      <name val="Calibri"/>
      <family val="2"/>
      <charset val="204"/>
      <scheme val="minor"/>
    </font>
    <font>
      <b/>
      <i/>
      <sz val="14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i/>
      <sz val="12"/>
      <color theme="1"/>
      <name val="ISOCPEUR"/>
      <family val="2"/>
      <charset val="204"/>
    </font>
    <font>
      <sz val="12"/>
      <color theme="1"/>
      <name val="Times New Roman"/>
      <family val="1"/>
      <charset val="204"/>
    </font>
    <font>
      <i/>
      <sz val="11"/>
      <color theme="0"/>
      <name val="Times New Roman"/>
      <family val="1"/>
      <charset val="204"/>
    </font>
    <font>
      <i/>
      <sz val="10"/>
      <color theme="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3" fillId="0" borderId="0"/>
    <xf numFmtId="0" fontId="8" fillId="0" borderId="0"/>
    <xf numFmtId="0" fontId="13" fillId="0" borderId="0" applyNumberFormat="0" applyFill="0" applyBorder="0" applyAlignment="0" applyProtection="0"/>
    <xf numFmtId="164" fontId="17" fillId="0" borderId="0" applyFont="0" applyFill="0" applyBorder="0" applyAlignment="0" applyProtection="0"/>
    <xf numFmtId="0" fontId="2" fillId="0" borderId="0"/>
    <xf numFmtId="0" fontId="35" fillId="0" borderId="0"/>
    <xf numFmtId="0" fontId="1" fillId="0" borderId="0"/>
    <xf numFmtId="0" fontId="44" fillId="6" borderId="14" applyNumberFormat="0" applyAlignment="0" applyProtection="0"/>
    <xf numFmtId="0" fontId="48" fillId="0" borderId="0"/>
  </cellStyleXfs>
  <cellXfs count="217">
    <xf numFmtId="0" fontId="0" fillId="0" borderId="0" xfId="0"/>
    <xf numFmtId="0" fontId="4" fillId="0" borderId="0" xfId="1" applyFont="1"/>
    <xf numFmtId="0" fontId="5" fillId="0" borderId="0" xfId="1" applyFont="1"/>
    <xf numFmtId="14" fontId="6" fillId="2" borderId="2" xfId="2" applyNumberFormat="1" applyFont="1" applyFill="1" applyBorder="1" applyAlignment="1">
      <alignment horizontal="center" vertical="center"/>
    </xf>
    <xf numFmtId="14" fontId="6" fillId="2" borderId="2" xfId="2" applyNumberFormat="1" applyFont="1" applyFill="1" applyBorder="1" applyAlignment="1">
      <alignment horizontal="left" vertical="center" wrapText="1"/>
    </xf>
    <xf numFmtId="0" fontId="9" fillId="0" borderId="0" xfId="1" applyFont="1"/>
    <xf numFmtId="0" fontId="10" fillId="0" borderId="0" xfId="1" applyFont="1"/>
    <xf numFmtId="0" fontId="11" fillId="0" borderId="2" xfId="0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4" fillId="0" borderId="0" xfId="3" applyFont="1" applyBorder="1" applyAlignment="1">
      <alignment vertical="center" wrapText="1"/>
    </xf>
    <xf numFmtId="0" fontId="16" fillId="0" borderId="0" xfId="0" applyFont="1"/>
    <xf numFmtId="0" fontId="12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16" fillId="0" borderId="2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vertical="top"/>
    </xf>
    <xf numFmtId="0" fontId="5" fillId="0" borderId="0" xfId="1" applyFont="1" applyAlignment="1">
      <alignment wrapText="1"/>
    </xf>
    <xf numFmtId="0" fontId="23" fillId="0" borderId="0" xfId="0" applyFont="1"/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4" fillId="0" borderId="0" xfId="3" applyFont="1" applyFill="1" applyBorder="1" applyAlignment="1">
      <alignment vertical="center" wrapText="1"/>
    </xf>
    <xf numFmtId="14" fontId="6" fillId="0" borderId="2" xfId="2" applyNumberFormat="1" applyFont="1" applyBorder="1" applyAlignment="1">
      <alignment horizontal="left" vertical="center" wrapText="1"/>
    </xf>
    <xf numFmtId="14" fontId="6" fillId="0" borderId="2" xfId="2" applyNumberFormat="1" applyFont="1" applyBorder="1" applyAlignment="1">
      <alignment horizontal="center" vertical="center" wrapText="1"/>
    </xf>
    <xf numFmtId="0" fontId="10" fillId="0" borderId="0" xfId="4" applyNumberFormat="1" applyFont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26" fillId="0" borderId="0" xfId="5" applyFont="1" applyAlignment="1">
      <alignment vertical="center"/>
    </xf>
    <xf numFmtId="0" fontId="27" fillId="0" borderId="0" xfId="5" applyFont="1" applyAlignment="1">
      <alignment horizontal="left" vertical="center"/>
    </xf>
    <xf numFmtId="0" fontId="2" fillId="0" borderId="0" xfId="5"/>
    <xf numFmtId="0" fontId="28" fillId="0" borderId="0" xfId="5" applyFont="1" applyAlignment="1">
      <alignment horizontal="left" vertical="center"/>
    </xf>
    <xf numFmtId="0" fontId="26" fillId="0" borderId="0" xfId="5" applyFont="1" applyAlignment="1">
      <alignment vertical="center" wrapText="1"/>
    </xf>
    <xf numFmtId="0" fontId="26" fillId="0" borderId="0" xfId="1" applyFont="1" applyAlignment="1">
      <alignment vertical="center"/>
    </xf>
    <xf numFmtId="0" fontId="29" fillId="0" borderId="0" xfId="5" applyFont="1" applyAlignment="1">
      <alignment vertical="center"/>
    </xf>
    <xf numFmtId="0" fontId="29" fillId="2" borderId="0" xfId="1" applyFont="1" applyFill="1" applyAlignment="1">
      <alignment vertical="center"/>
    </xf>
    <xf numFmtId="0" fontId="30" fillId="2" borderId="0" xfId="1" applyFont="1" applyFill="1" applyAlignment="1">
      <alignment vertical="center"/>
    </xf>
    <xf numFmtId="0" fontId="31" fillId="0" borderId="0" xfId="5" applyFont="1" applyAlignment="1">
      <alignment vertical="center"/>
    </xf>
    <xf numFmtId="0" fontId="6" fillId="2" borderId="0" xfId="1" applyFont="1" applyFill="1" applyAlignment="1">
      <alignment vertical="top" wrapText="1"/>
    </xf>
    <xf numFmtId="0" fontId="29" fillId="2" borderId="0" xfId="5" applyFont="1" applyFill="1" applyAlignment="1">
      <alignment vertical="top" wrapText="1"/>
    </xf>
    <xf numFmtId="0" fontId="4" fillId="0" borderId="0" xfId="5" applyFont="1" applyAlignment="1">
      <alignment vertical="center"/>
    </xf>
    <xf numFmtId="0" fontId="34" fillId="0" borderId="2" xfId="0" applyFont="1" applyBorder="1" applyAlignment="1">
      <alignment horizontal="center" vertical="center" wrapText="1"/>
    </xf>
    <xf numFmtId="0" fontId="36" fillId="3" borderId="11" xfId="6" applyFont="1" applyFill="1" applyBorder="1" applyAlignment="1">
      <alignment horizontal="center" vertical="center" wrapText="1"/>
    </xf>
    <xf numFmtId="0" fontId="36" fillId="3" borderId="12" xfId="6" applyFont="1" applyFill="1" applyBorder="1" applyAlignment="1">
      <alignment horizontal="center" vertical="center" wrapText="1"/>
    </xf>
    <xf numFmtId="0" fontId="35" fillId="0" borderId="0" xfId="6" applyAlignment="1">
      <alignment vertical="top" wrapText="1"/>
    </xf>
    <xf numFmtId="0" fontId="35" fillId="0" borderId="13" xfId="6" applyBorder="1" applyAlignment="1">
      <alignment vertical="center" wrapText="1"/>
    </xf>
    <xf numFmtId="0" fontId="35" fillId="4" borderId="2" xfId="6" applyFill="1" applyBorder="1" applyAlignment="1">
      <alignment horizontal="left" vertical="center" wrapText="1"/>
    </xf>
    <xf numFmtId="0" fontId="35" fillId="4" borderId="2" xfId="6" applyFill="1" applyBorder="1" applyAlignment="1">
      <alignment horizontal="center" vertical="center" wrapText="1"/>
    </xf>
    <xf numFmtId="0" fontId="37" fillId="5" borderId="2" xfId="6" applyFont="1" applyFill="1" applyBorder="1" applyAlignment="1">
      <alignment vertical="center" wrapText="1"/>
    </xf>
    <xf numFmtId="0" fontId="37" fillId="5" borderId="2" xfId="6" applyFont="1" applyFill="1" applyBorder="1" applyAlignment="1">
      <alignment horizontal="left" vertical="center" wrapText="1"/>
    </xf>
    <xf numFmtId="0" fontId="37" fillId="5" borderId="2" xfId="6" applyFont="1" applyFill="1" applyBorder="1" applyAlignment="1">
      <alignment horizontal="center" vertical="center" wrapText="1"/>
    </xf>
    <xf numFmtId="0" fontId="37" fillId="0" borderId="0" xfId="6" applyFont="1" applyAlignment="1">
      <alignment vertical="top" wrapText="1"/>
    </xf>
    <xf numFmtId="0" fontId="35" fillId="0" borderId="2" xfId="6" applyBorder="1" applyAlignment="1">
      <alignment vertical="center" wrapText="1"/>
    </xf>
    <xf numFmtId="0" fontId="35" fillId="5" borderId="2" xfId="6" applyFill="1" applyBorder="1" applyAlignment="1">
      <alignment horizontal="left" vertical="center" wrapText="1"/>
    </xf>
    <xf numFmtId="0" fontId="35" fillId="5" borderId="2" xfId="6" applyFill="1" applyBorder="1" applyAlignment="1">
      <alignment horizontal="center" vertical="center" wrapText="1"/>
    </xf>
    <xf numFmtId="0" fontId="35" fillId="0" borderId="0" xfId="6" applyAlignment="1">
      <alignment vertical="center" wrapText="1"/>
    </xf>
    <xf numFmtId="0" fontId="35" fillId="0" borderId="0" xfId="6" applyAlignment="1">
      <alignment horizontal="center" vertical="center" wrapText="1"/>
    </xf>
    <xf numFmtId="0" fontId="35" fillId="0" borderId="0" xfId="6" applyAlignment="1">
      <alignment horizontal="left" vertical="center" wrapText="1"/>
    </xf>
    <xf numFmtId="0" fontId="38" fillId="0" borderId="2" xfId="3" applyFont="1" applyBorder="1" applyAlignment="1">
      <alignment horizontal="center" vertical="center" wrapText="1"/>
    </xf>
    <xf numFmtId="0" fontId="38" fillId="0" borderId="2" xfId="3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/>
    <xf numFmtId="0" fontId="39" fillId="0" borderId="0" xfId="0" applyFont="1"/>
    <xf numFmtId="0" fontId="40" fillId="0" borderId="0" xfId="7" applyFont="1"/>
    <xf numFmtId="0" fontId="41" fillId="0" borderId="0" xfId="1" applyFont="1" applyAlignment="1">
      <alignment vertical="center"/>
    </xf>
    <xf numFmtId="0" fontId="40" fillId="0" borderId="0" xfId="0" applyFont="1"/>
    <xf numFmtId="0" fontId="9" fillId="0" borderId="2" xfId="0" applyFont="1" applyBorder="1" applyAlignment="1">
      <alignment horizontal="left" vertical="center" wrapText="1"/>
    </xf>
    <xf numFmtId="14" fontId="42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/>
    </xf>
    <xf numFmtId="0" fontId="9" fillId="0" borderId="2" xfId="8" applyNumberFormat="1" applyFont="1" applyFill="1" applyBorder="1" applyAlignment="1">
      <alignment horizontal="left" vertical="center" wrapText="1"/>
    </xf>
    <xf numFmtId="0" fontId="4" fillId="0" borderId="0" xfId="1" applyFont="1" applyAlignment="1">
      <alignment wrapText="1"/>
    </xf>
    <xf numFmtId="0" fontId="10" fillId="0" borderId="0" xfId="1" applyFont="1" applyAlignment="1">
      <alignment horizontal="left"/>
    </xf>
    <xf numFmtId="0" fontId="34" fillId="0" borderId="2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34" fillId="0" borderId="0" xfId="7" applyFont="1" applyAlignment="1">
      <alignment horizontal="center" vertical="center" wrapText="1"/>
    </xf>
    <xf numFmtId="0" fontId="34" fillId="0" borderId="0" xfId="7" applyFont="1" applyAlignment="1">
      <alignment horizontal="center" vertical="center"/>
    </xf>
    <xf numFmtId="0" fontId="4" fillId="0" borderId="0" xfId="7" applyFont="1" applyAlignment="1">
      <alignment horizontal="center" vertical="center" wrapText="1"/>
    </xf>
    <xf numFmtId="0" fontId="1" fillId="7" borderId="0" xfId="7" applyFill="1"/>
    <xf numFmtId="0" fontId="1" fillId="0" borderId="0" xfId="7"/>
    <xf numFmtId="0" fontId="34" fillId="0" borderId="2" xfId="7" applyFont="1" applyBorder="1" applyAlignment="1">
      <alignment horizontal="center" vertical="top" wrapText="1"/>
    </xf>
    <xf numFmtId="0" fontId="4" fillId="0" borderId="0" xfId="7" applyFont="1" applyAlignment="1">
      <alignment horizontal="center" vertical="center"/>
    </xf>
    <xf numFmtId="14" fontId="42" fillId="0" borderId="2" xfId="7" applyNumberFormat="1" applyFont="1" applyBorder="1" applyAlignment="1">
      <alignment horizontal="center" vertical="center" wrapText="1"/>
    </xf>
    <xf numFmtId="0" fontId="9" fillId="0" borderId="2" xfId="7" applyFont="1" applyBorder="1" applyAlignment="1">
      <alignment horizontal="left" vertical="center" wrapText="1"/>
    </xf>
    <xf numFmtId="0" fontId="6" fillId="0" borderId="2" xfId="7" applyFont="1" applyBorder="1" applyAlignment="1">
      <alignment horizontal="center" vertical="center" wrapText="1"/>
    </xf>
    <xf numFmtId="0" fontId="42" fillId="0" borderId="2" xfId="7" applyFont="1" applyBorder="1" applyAlignment="1">
      <alignment horizontal="center" vertical="center" wrapText="1"/>
    </xf>
    <xf numFmtId="0" fontId="9" fillId="0" borderId="2" xfId="8" applyFont="1" applyFill="1" applyBorder="1" applyAlignment="1">
      <alignment horizontal="left" vertical="center" wrapText="1"/>
    </xf>
    <xf numFmtId="0" fontId="20" fillId="0" borderId="2" xfId="7" applyFont="1" applyBorder="1" applyAlignment="1">
      <alignment horizontal="center" vertical="center" wrapText="1"/>
    </xf>
    <xf numFmtId="0" fontId="9" fillId="0" borderId="2" xfId="7" applyFont="1" applyBorder="1" applyAlignment="1">
      <alignment horizontal="center" vertical="center" wrapText="1"/>
    </xf>
    <xf numFmtId="0" fontId="9" fillId="0" borderId="0" xfId="7" applyFont="1" applyAlignment="1">
      <alignment horizontal="left" vertical="center" wrapText="1"/>
    </xf>
    <xf numFmtId="0" fontId="9" fillId="0" borderId="0" xfId="7" applyFont="1" applyAlignment="1">
      <alignment horizontal="center" vertical="center" wrapText="1"/>
    </xf>
    <xf numFmtId="0" fontId="9" fillId="0" borderId="0" xfId="8" applyFont="1" applyFill="1" applyBorder="1" applyAlignment="1">
      <alignment horizontal="left" vertical="center" wrapText="1"/>
    </xf>
    <xf numFmtId="0" fontId="20" fillId="0" borderId="2" xfId="7" applyFont="1" applyBorder="1" applyAlignment="1">
      <alignment horizontal="left" vertical="center" wrapText="1"/>
    </xf>
    <xf numFmtId="0" fontId="20" fillId="0" borderId="0" xfId="7" applyFont="1" applyAlignment="1">
      <alignment vertical="center" wrapText="1"/>
    </xf>
    <xf numFmtId="0" fontId="42" fillId="0" borderId="0" xfId="7" applyFont="1" applyAlignment="1">
      <alignment horizontal="center" vertical="center" wrapText="1"/>
    </xf>
    <xf numFmtId="0" fontId="42" fillId="0" borderId="0" xfId="7" applyFont="1" applyAlignment="1">
      <alignment horizontal="center" vertical="center"/>
    </xf>
    <xf numFmtId="0" fontId="20" fillId="0" borderId="0" xfId="7" applyFont="1" applyAlignment="1">
      <alignment horizontal="center" vertical="center" wrapText="1"/>
    </xf>
    <xf numFmtId="0" fontId="22" fillId="0" borderId="0" xfId="7" applyFont="1" applyAlignment="1">
      <alignment horizontal="center" vertical="center" wrapText="1"/>
    </xf>
    <xf numFmtId="0" fontId="6" fillId="0" borderId="0" xfId="7" applyFont="1" applyAlignment="1">
      <alignment horizontal="center" vertical="center" wrapText="1"/>
    </xf>
    <xf numFmtId="0" fontId="46" fillId="0" borderId="0" xfId="7" applyFont="1" applyAlignment="1">
      <alignment horizontal="center" vertical="center" wrapText="1"/>
    </xf>
    <xf numFmtId="0" fontId="22" fillId="0" borderId="0" xfId="7" applyFont="1" applyAlignment="1">
      <alignment vertical="center" wrapText="1"/>
    </xf>
    <xf numFmtId="14" fontId="42" fillId="0" borderId="13" xfId="7" applyNumberFormat="1" applyFont="1" applyBorder="1" applyAlignment="1">
      <alignment horizontal="center" vertical="center" wrapText="1"/>
    </xf>
    <xf numFmtId="0" fontId="6" fillId="0" borderId="15" xfId="7" applyFont="1" applyBorder="1" applyAlignment="1">
      <alignment horizontal="center" vertical="center" wrapText="1"/>
    </xf>
    <xf numFmtId="0" fontId="46" fillId="2" borderId="0" xfId="7" applyFont="1" applyFill="1" applyAlignment="1">
      <alignment horizontal="center" vertical="center" wrapText="1"/>
    </xf>
    <xf numFmtId="0" fontId="34" fillId="0" borderId="0" xfId="7" applyFont="1" applyAlignment="1">
      <alignment horizontal="center" vertical="top"/>
    </xf>
    <xf numFmtId="0" fontId="34" fillId="0" borderId="0" xfId="7" applyFont="1" applyAlignment="1">
      <alignment horizontal="left" vertical="center"/>
    </xf>
    <xf numFmtId="0" fontId="1" fillId="0" borderId="0" xfId="7" applyAlignment="1">
      <alignment horizontal="center" vertical="center"/>
    </xf>
    <xf numFmtId="0" fontId="47" fillId="0" borderId="0" xfId="7" applyFont="1" applyAlignment="1">
      <alignment horizontal="center" vertical="center"/>
    </xf>
    <xf numFmtId="0" fontId="35" fillId="0" borderId="2" xfId="6" applyBorder="1" applyAlignment="1">
      <alignment horizontal="left" vertical="center" wrapText="1"/>
    </xf>
    <xf numFmtId="0" fontId="35" fillId="0" borderId="2" xfId="6" applyBorder="1" applyAlignment="1">
      <alignment horizontal="center" vertical="center" wrapText="1"/>
    </xf>
    <xf numFmtId="14" fontId="42" fillId="0" borderId="2" xfId="0" applyNumberFormat="1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 textRotation="90"/>
    </xf>
    <xf numFmtId="0" fontId="49" fillId="0" borderId="16" xfId="0" applyFont="1" applyBorder="1" applyAlignment="1">
      <alignment vertical="center" wrapText="1"/>
    </xf>
    <xf numFmtId="0" fontId="49" fillId="0" borderId="17" xfId="0" applyFont="1" applyBorder="1" applyAlignment="1">
      <alignment horizontal="center" vertical="center" wrapText="1"/>
    </xf>
    <xf numFmtId="0" fontId="49" fillId="0" borderId="17" xfId="0" applyFont="1" applyBorder="1" applyAlignment="1">
      <alignment vertical="center" wrapText="1"/>
    </xf>
    <xf numFmtId="0" fontId="49" fillId="0" borderId="18" xfId="0" applyFont="1" applyBorder="1" applyAlignment="1">
      <alignment vertical="center" wrapText="1"/>
    </xf>
    <xf numFmtId="0" fontId="34" fillId="0" borderId="19" xfId="0" applyFont="1" applyBorder="1" applyAlignment="1">
      <alignment vertical="center" wrapText="1"/>
    </xf>
    <xf numFmtId="0" fontId="49" fillId="0" borderId="19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49" fillId="0" borderId="20" xfId="0" applyFont="1" applyBorder="1" applyAlignment="1">
      <alignment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right" vertical="center" wrapText="1"/>
    </xf>
    <xf numFmtId="0" fontId="49" fillId="0" borderId="19" xfId="0" applyFont="1" applyBorder="1" applyAlignment="1">
      <alignment horizontal="left" vertical="center" wrapText="1" indent="2"/>
    </xf>
    <xf numFmtId="0" fontId="49" fillId="0" borderId="19" xfId="0" applyFont="1" applyBorder="1" applyAlignment="1">
      <alignment horizontal="left" vertical="center" wrapText="1" indent="1"/>
    </xf>
    <xf numFmtId="0" fontId="49" fillId="0" borderId="19" xfId="0" applyFont="1" applyBorder="1" applyAlignment="1">
      <alignment horizontal="right" vertical="center" wrapText="1"/>
    </xf>
    <xf numFmtId="0" fontId="49" fillId="0" borderId="22" xfId="0" applyFont="1" applyBorder="1" applyAlignment="1">
      <alignment horizontal="right" vertical="center" wrapText="1"/>
    </xf>
    <xf numFmtId="0" fontId="49" fillId="0" borderId="22" xfId="0" applyFont="1" applyBorder="1" applyAlignment="1">
      <alignment horizontal="center" vertical="center" wrapText="1"/>
    </xf>
    <xf numFmtId="0" fontId="49" fillId="0" borderId="22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6" fillId="0" borderId="2" xfId="7" applyFont="1" applyBorder="1" applyAlignment="1">
      <alignment horizontal="left" vertical="center" wrapText="1"/>
    </xf>
    <xf numFmtId="0" fontId="42" fillId="0" borderId="2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/>
    </xf>
    <xf numFmtId="14" fontId="52" fillId="0" borderId="2" xfId="0" applyNumberFormat="1" applyFont="1" applyBorder="1" applyAlignment="1">
      <alignment horizontal="center" vertical="center" wrapText="1"/>
    </xf>
    <xf numFmtId="14" fontId="52" fillId="0" borderId="2" xfId="0" applyNumberFormat="1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" fillId="0" borderId="0" xfId="1" applyFont="1" applyAlignment="1">
      <alignment horizontal="right"/>
    </xf>
    <xf numFmtId="0" fontId="10" fillId="0" borderId="0" xfId="1" applyFont="1" applyAlignment="1">
      <alignment horizontal="center"/>
    </xf>
    <xf numFmtId="0" fontId="7" fillId="0" borderId="0" xfId="1" applyFont="1" applyAlignment="1">
      <alignment horizontal="center" vertical="top" wrapText="1"/>
    </xf>
    <xf numFmtId="0" fontId="7" fillId="0" borderId="0" xfId="1" applyFont="1" applyAlignment="1">
      <alignment horizontal="center"/>
    </xf>
    <xf numFmtId="0" fontId="10" fillId="0" borderId="0" xfId="1" applyFont="1" applyAlignment="1">
      <alignment horizontal="left" wrapText="1"/>
    </xf>
    <xf numFmtId="0" fontId="10" fillId="0" borderId="0" xfId="1" applyFont="1" applyAlignment="1">
      <alignment horizontal="left" vertical="top" wrapText="1"/>
    </xf>
    <xf numFmtId="0" fontId="5" fillId="0" borderId="0" xfId="1" applyFont="1" applyAlignment="1">
      <alignment horizontal="left" wrapText="1"/>
    </xf>
    <xf numFmtId="0" fontId="45" fillId="0" borderId="0" xfId="1" applyFont="1" applyAlignment="1">
      <alignment horizontal="center"/>
    </xf>
    <xf numFmtId="0" fontId="32" fillId="0" borderId="0" xfId="5" applyFont="1" applyAlignment="1">
      <alignment horizontal="center" vertical="center"/>
    </xf>
    <xf numFmtId="0" fontId="9" fillId="0" borderId="0" xfId="5" applyFont="1" applyAlignment="1">
      <alignment horizontal="left" vertical="center" wrapText="1"/>
    </xf>
    <xf numFmtId="0" fontId="26" fillId="0" borderId="0" xfId="5" applyFont="1" applyAlignment="1">
      <alignment vertical="center"/>
    </xf>
    <xf numFmtId="0" fontId="10" fillId="0" borderId="0" xfId="5" applyFont="1" applyAlignment="1">
      <alignment horizontal="center" vertical="center"/>
    </xf>
    <xf numFmtId="0" fontId="18" fillId="0" borderId="3" xfId="5" applyFont="1" applyBorder="1" applyAlignment="1">
      <alignment horizontal="center" vertical="center"/>
    </xf>
    <xf numFmtId="0" fontId="26" fillId="0" borderId="3" xfId="5" applyFont="1" applyBorder="1" applyAlignment="1">
      <alignment horizontal="center" vertical="center"/>
    </xf>
    <xf numFmtId="0" fontId="6" fillId="2" borderId="0" xfId="1" applyFont="1" applyFill="1" applyAlignment="1">
      <alignment horizontal="left" vertical="top" wrapText="1"/>
    </xf>
    <xf numFmtId="0" fontId="26" fillId="0" borderId="0" xfId="5" applyFont="1" applyAlignment="1">
      <alignment horizontal="center"/>
    </xf>
    <xf numFmtId="0" fontId="33" fillId="0" borderId="0" xfId="5" applyFont="1" applyAlignment="1">
      <alignment horizontal="center" vertical="center"/>
    </xf>
    <xf numFmtId="0" fontId="26" fillId="0" borderId="0" xfId="5" applyFont="1" applyAlignment="1">
      <alignment horizontal="right" vertical="center"/>
    </xf>
    <xf numFmtId="0" fontId="26" fillId="0" borderId="1" xfId="5" applyFont="1" applyBorder="1" applyAlignment="1">
      <alignment horizontal="center" vertical="center"/>
    </xf>
    <xf numFmtId="0" fontId="10" fillId="2" borderId="0" xfId="1" applyFont="1" applyFill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16" fillId="0" borderId="3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/>
    </xf>
    <xf numFmtId="16" fontId="12" fillId="0" borderId="0" xfId="0" applyNumberFormat="1" applyFont="1" applyAlignment="1">
      <alignment horizontal="left" vertical="top"/>
    </xf>
    <xf numFmtId="0" fontId="43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top"/>
    </xf>
    <xf numFmtId="0" fontId="20" fillId="0" borderId="1" xfId="0" applyFont="1" applyBorder="1" applyAlignment="1">
      <alignment horizontal="left" wrapText="1"/>
    </xf>
    <xf numFmtId="0" fontId="12" fillId="0" borderId="0" xfId="0" applyFont="1" applyAlignment="1">
      <alignment horizontal="left"/>
    </xf>
    <xf numFmtId="0" fontId="20" fillId="0" borderId="10" xfId="0" applyFont="1" applyBorder="1" applyAlignment="1">
      <alignment horizontal="left"/>
    </xf>
    <xf numFmtId="0" fontId="16" fillId="0" borderId="0" xfId="0" applyFont="1" applyAlignment="1">
      <alignment horizontal="center" vertical="top"/>
    </xf>
    <xf numFmtId="0" fontId="20" fillId="0" borderId="1" xfId="0" applyFont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164" fontId="10" fillId="0" borderId="0" xfId="4" applyFont="1" applyFill="1" applyBorder="1" applyAlignment="1">
      <alignment horizontal="center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horizontal="right" vertical="center"/>
    </xf>
    <xf numFmtId="0" fontId="18" fillId="0" borderId="0" xfId="1" applyFont="1" applyAlignment="1">
      <alignment horizontal="center" vertical="top"/>
    </xf>
    <xf numFmtId="164" fontId="19" fillId="0" borderId="0" xfId="4" applyFont="1" applyBorder="1" applyAlignment="1">
      <alignment horizontal="center"/>
    </xf>
    <xf numFmtId="0" fontId="9" fillId="0" borderId="0" xfId="4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</cellXfs>
  <cellStyles count="10">
    <cellStyle name="Вывод 2" xfId="8" xr:uid="{E6C8FE47-D4B4-47EC-A16D-D3F980046807}"/>
    <cellStyle name="Гиперссылка" xfId="3" builtinId="8"/>
    <cellStyle name="Обычный" xfId="0" builtinId="0"/>
    <cellStyle name="Обычный 2" xfId="5" xr:uid="{00000000-0005-0000-0000-000002000000}"/>
    <cellStyle name="Обычный 2 2 2" xfId="7" xr:uid="{00000000-0005-0000-0000-000003000000}"/>
    <cellStyle name="Обычный 2 3" xfId="1" xr:uid="{00000000-0005-0000-0000-000004000000}"/>
    <cellStyle name="Обычный 3" xfId="2" xr:uid="{00000000-0005-0000-0000-000005000000}"/>
    <cellStyle name="Обычный 4" xfId="9" xr:uid="{1332BD80-46C0-48D7-9FE8-02F1588C797A}"/>
    <cellStyle name="Обычный 8" xfId="6" xr:uid="{00000000-0005-0000-0000-000006000000}"/>
    <cellStyle name="Финансовый" xfId="4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1</xdr:row>
      <xdr:rowOff>50799</xdr:rowOff>
    </xdr:from>
    <xdr:to>
      <xdr:col>21</xdr:col>
      <xdr:colOff>76200</xdr:colOff>
      <xdr:row>65</xdr:row>
      <xdr:rowOff>21474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7BEB1F2-4F52-8645-974A-E04658709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241299"/>
          <a:ext cx="15824200" cy="12162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2:E90"/>
  <sheetViews>
    <sheetView workbookViewId="0">
      <selection activeCell="B9" sqref="B9"/>
    </sheetView>
  </sheetViews>
  <sheetFormatPr defaultRowHeight="13.2" x14ac:dyDescent="0.3"/>
  <cols>
    <col min="1" max="1" width="24.109375" style="69" customWidth="1"/>
    <col min="2" max="2" width="57.88671875" style="71" customWidth="1"/>
    <col min="3" max="3" width="24.6640625" style="70" customWidth="1"/>
    <col min="4" max="4" width="15.33203125" style="70" customWidth="1"/>
    <col min="5" max="7" width="15.6640625" style="58" customWidth="1"/>
    <col min="8" max="34" width="2.6640625" style="58" customWidth="1"/>
    <col min="35" max="249" width="9.109375" style="58"/>
    <col min="250" max="250" width="29.6640625" style="58" customWidth="1"/>
    <col min="251" max="251" width="49" style="58" customWidth="1"/>
    <col min="252" max="252" width="24.6640625" style="58" customWidth="1"/>
    <col min="253" max="253" width="15.33203125" style="58" customWidth="1"/>
    <col min="254" max="254" width="15.5546875" style="58" customWidth="1"/>
    <col min="255" max="255" width="10.44140625" style="58" customWidth="1"/>
    <col min="256" max="256" width="21.88671875" style="58" customWidth="1"/>
    <col min="257" max="290" width="2.6640625" style="58" customWidth="1"/>
    <col min="291" max="505" width="9.109375" style="58"/>
    <col min="506" max="506" width="29.6640625" style="58" customWidth="1"/>
    <col min="507" max="507" width="49" style="58" customWidth="1"/>
    <col min="508" max="508" width="24.6640625" style="58" customWidth="1"/>
    <col min="509" max="509" width="15.33203125" style="58" customWidth="1"/>
    <col min="510" max="510" width="15.5546875" style="58" customWidth="1"/>
    <col min="511" max="511" width="10.44140625" style="58" customWidth="1"/>
    <col min="512" max="512" width="21.88671875" style="58" customWidth="1"/>
    <col min="513" max="546" width="2.6640625" style="58" customWidth="1"/>
    <col min="547" max="761" width="9.109375" style="58"/>
    <col min="762" max="762" width="29.6640625" style="58" customWidth="1"/>
    <col min="763" max="763" width="49" style="58" customWidth="1"/>
    <col min="764" max="764" width="24.6640625" style="58" customWidth="1"/>
    <col min="765" max="765" width="15.33203125" style="58" customWidth="1"/>
    <col min="766" max="766" width="15.5546875" style="58" customWidth="1"/>
    <col min="767" max="767" width="10.44140625" style="58" customWidth="1"/>
    <col min="768" max="768" width="21.88671875" style="58" customWidth="1"/>
    <col min="769" max="802" width="2.6640625" style="58" customWidth="1"/>
    <col min="803" max="1017" width="9.109375" style="58"/>
    <col min="1018" max="1018" width="29.6640625" style="58" customWidth="1"/>
    <col min="1019" max="1019" width="49" style="58" customWidth="1"/>
    <col min="1020" max="1020" width="24.6640625" style="58" customWidth="1"/>
    <col min="1021" max="1021" width="15.33203125" style="58" customWidth="1"/>
    <col min="1022" max="1022" width="15.5546875" style="58" customWidth="1"/>
    <col min="1023" max="1023" width="10.44140625" style="58" customWidth="1"/>
    <col min="1024" max="1024" width="21.88671875" style="58" customWidth="1"/>
    <col min="1025" max="1058" width="2.6640625" style="58" customWidth="1"/>
    <col min="1059" max="1273" width="9.109375" style="58"/>
    <col min="1274" max="1274" width="29.6640625" style="58" customWidth="1"/>
    <col min="1275" max="1275" width="49" style="58" customWidth="1"/>
    <col min="1276" max="1276" width="24.6640625" style="58" customWidth="1"/>
    <col min="1277" max="1277" width="15.33203125" style="58" customWidth="1"/>
    <col min="1278" max="1278" width="15.5546875" style="58" customWidth="1"/>
    <col min="1279" max="1279" width="10.44140625" style="58" customWidth="1"/>
    <col min="1280" max="1280" width="21.88671875" style="58" customWidth="1"/>
    <col min="1281" max="1314" width="2.6640625" style="58" customWidth="1"/>
    <col min="1315" max="1529" width="9.109375" style="58"/>
    <col min="1530" max="1530" width="29.6640625" style="58" customWidth="1"/>
    <col min="1531" max="1531" width="49" style="58" customWidth="1"/>
    <col min="1532" max="1532" width="24.6640625" style="58" customWidth="1"/>
    <col min="1533" max="1533" width="15.33203125" style="58" customWidth="1"/>
    <col min="1534" max="1534" width="15.5546875" style="58" customWidth="1"/>
    <col min="1535" max="1535" width="10.44140625" style="58" customWidth="1"/>
    <col min="1536" max="1536" width="21.88671875" style="58" customWidth="1"/>
    <col min="1537" max="1570" width="2.6640625" style="58" customWidth="1"/>
    <col min="1571" max="1785" width="9.109375" style="58"/>
    <col min="1786" max="1786" width="29.6640625" style="58" customWidth="1"/>
    <col min="1787" max="1787" width="49" style="58" customWidth="1"/>
    <col min="1788" max="1788" width="24.6640625" style="58" customWidth="1"/>
    <col min="1789" max="1789" width="15.33203125" style="58" customWidth="1"/>
    <col min="1790" max="1790" width="15.5546875" style="58" customWidth="1"/>
    <col min="1791" max="1791" width="10.44140625" style="58" customWidth="1"/>
    <col min="1792" max="1792" width="21.88671875" style="58" customWidth="1"/>
    <col min="1793" max="1826" width="2.6640625" style="58" customWidth="1"/>
    <col min="1827" max="2041" width="9.109375" style="58"/>
    <col min="2042" max="2042" width="29.6640625" style="58" customWidth="1"/>
    <col min="2043" max="2043" width="49" style="58" customWidth="1"/>
    <col min="2044" max="2044" width="24.6640625" style="58" customWidth="1"/>
    <col min="2045" max="2045" width="15.33203125" style="58" customWidth="1"/>
    <col min="2046" max="2046" width="15.5546875" style="58" customWidth="1"/>
    <col min="2047" max="2047" width="10.44140625" style="58" customWidth="1"/>
    <col min="2048" max="2048" width="21.88671875" style="58" customWidth="1"/>
    <col min="2049" max="2082" width="2.6640625" style="58" customWidth="1"/>
    <col min="2083" max="2297" width="9.109375" style="58"/>
    <col min="2298" max="2298" width="29.6640625" style="58" customWidth="1"/>
    <col min="2299" max="2299" width="49" style="58" customWidth="1"/>
    <col min="2300" max="2300" width="24.6640625" style="58" customWidth="1"/>
    <col min="2301" max="2301" width="15.33203125" style="58" customWidth="1"/>
    <col min="2302" max="2302" width="15.5546875" style="58" customWidth="1"/>
    <col min="2303" max="2303" width="10.44140625" style="58" customWidth="1"/>
    <col min="2304" max="2304" width="21.88671875" style="58" customWidth="1"/>
    <col min="2305" max="2338" width="2.6640625" style="58" customWidth="1"/>
    <col min="2339" max="2553" width="9.109375" style="58"/>
    <col min="2554" max="2554" width="29.6640625" style="58" customWidth="1"/>
    <col min="2555" max="2555" width="49" style="58" customWidth="1"/>
    <col min="2556" max="2556" width="24.6640625" style="58" customWidth="1"/>
    <col min="2557" max="2557" width="15.33203125" style="58" customWidth="1"/>
    <col min="2558" max="2558" width="15.5546875" style="58" customWidth="1"/>
    <col min="2559" max="2559" width="10.44140625" style="58" customWidth="1"/>
    <col min="2560" max="2560" width="21.88671875" style="58" customWidth="1"/>
    <col min="2561" max="2594" width="2.6640625" style="58" customWidth="1"/>
    <col min="2595" max="2809" width="9.109375" style="58"/>
    <col min="2810" max="2810" width="29.6640625" style="58" customWidth="1"/>
    <col min="2811" max="2811" width="49" style="58" customWidth="1"/>
    <col min="2812" max="2812" width="24.6640625" style="58" customWidth="1"/>
    <col min="2813" max="2813" width="15.33203125" style="58" customWidth="1"/>
    <col min="2814" max="2814" width="15.5546875" style="58" customWidth="1"/>
    <col min="2815" max="2815" width="10.44140625" style="58" customWidth="1"/>
    <col min="2816" max="2816" width="21.88671875" style="58" customWidth="1"/>
    <col min="2817" max="2850" width="2.6640625" style="58" customWidth="1"/>
    <col min="2851" max="3065" width="9.109375" style="58"/>
    <col min="3066" max="3066" width="29.6640625" style="58" customWidth="1"/>
    <col min="3067" max="3067" width="49" style="58" customWidth="1"/>
    <col min="3068" max="3068" width="24.6640625" style="58" customWidth="1"/>
    <col min="3069" max="3069" width="15.33203125" style="58" customWidth="1"/>
    <col min="3070" max="3070" width="15.5546875" style="58" customWidth="1"/>
    <col min="3071" max="3071" width="10.44140625" style="58" customWidth="1"/>
    <col min="3072" max="3072" width="21.88671875" style="58" customWidth="1"/>
    <col min="3073" max="3106" width="2.6640625" style="58" customWidth="1"/>
    <col min="3107" max="3321" width="9.109375" style="58"/>
    <col min="3322" max="3322" width="29.6640625" style="58" customWidth="1"/>
    <col min="3323" max="3323" width="49" style="58" customWidth="1"/>
    <col min="3324" max="3324" width="24.6640625" style="58" customWidth="1"/>
    <col min="3325" max="3325" width="15.33203125" style="58" customWidth="1"/>
    <col min="3326" max="3326" width="15.5546875" style="58" customWidth="1"/>
    <col min="3327" max="3327" width="10.44140625" style="58" customWidth="1"/>
    <col min="3328" max="3328" width="21.88671875" style="58" customWidth="1"/>
    <col min="3329" max="3362" width="2.6640625" style="58" customWidth="1"/>
    <col min="3363" max="3577" width="9.109375" style="58"/>
    <col min="3578" max="3578" width="29.6640625" style="58" customWidth="1"/>
    <col min="3579" max="3579" width="49" style="58" customWidth="1"/>
    <col min="3580" max="3580" width="24.6640625" style="58" customWidth="1"/>
    <col min="3581" max="3581" width="15.33203125" style="58" customWidth="1"/>
    <col min="3582" max="3582" width="15.5546875" style="58" customWidth="1"/>
    <col min="3583" max="3583" width="10.44140625" style="58" customWidth="1"/>
    <col min="3584" max="3584" width="21.88671875" style="58" customWidth="1"/>
    <col min="3585" max="3618" width="2.6640625" style="58" customWidth="1"/>
    <col min="3619" max="3833" width="9.109375" style="58"/>
    <col min="3834" max="3834" width="29.6640625" style="58" customWidth="1"/>
    <col min="3835" max="3835" width="49" style="58" customWidth="1"/>
    <col min="3836" max="3836" width="24.6640625" style="58" customWidth="1"/>
    <col min="3837" max="3837" width="15.33203125" style="58" customWidth="1"/>
    <col min="3838" max="3838" width="15.5546875" style="58" customWidth="1"/>
    <col min="3839" max="3839" width="10.44140625" style="58" customWidth="1"/>
    <col min="3840" max="3840" width="21.88671875" style="58" customWidth="1"/>
    <col min="3841" max="3874" width="2.6640625" style="58" customWidth="1"/>
    <col min="3875" max="4089" width="9.109375" style="58"/>
    <col min="4090" max="4090" width="29.6640625" style="58" customWidth="1"/>
    <col min="4091" max="4091" width="49" style="58" customWidth="1"/>
    <col min="4092" max="4092" width="24.6640625" style="58" customWidth="1"/>
    <col min="4093" max="4093" width="15.33203125" style="58" customWidth="1"/>
    <col min="4094" max="4094" width="15.5546875" style="58" customWidth="1"/>
    <col min="4095" max="4095" width="10.44140625" style="58" customWidth="1"/>
    <col min="4096" max="4096" width="21.88671875" style="58" customWidth="1"/>
    <col min="4097" max="4130" width="2.6640625" style="58" customWidth="1"/>
    <col min="4131" max="4345" width="9.109375" style="58"/>
    <col min="4346" max="4346" width="29.6640625" style="58" customWidth="1"/>
    <col min="4347" max="4347" width="49" style="58" customWidth="1"/>
    <col min="4348" max="4348" width="24.6640625" style="58" customWidth="1"/>
    <col min="4349" max="4349" width="15.33203125" style="58" customWidth="1"/>
    <col min="4350" max="4350" width="15.5546875" style="58" customWidth="1"/>
    <col min="4351" max="4351" width="10.44140625" style="58" customWidth="1"/>
    <col min="4352" max="4352" width="21.88671875" style="58" customWidth="1"/>
    <col min="4353" max="4386" width="2.6640625" style="58" customWidth="1"/>
    <col min="4387" max="4601" width="9.109375" style="58"/>
    <col min="4602" max="4602" width="29.6640625" style="58" customWidth="1"/>
    <col min="4603" max="4603" width="49" style="58" customWidth="1"/>
    <col min="4604" max="4604" width="24.6640625" style="58" customWidth="1"/>
    <col min="4605" max="4605" width="15.33203125" style="58" customWidth="1"/>
    <col min="4606" max="4606" width="15.5546875" style="58" customWidth="1"/>
    <col min="4607" max="4607" width="10.44140625" style="58" customWidth="1"/>
    <col min="4608" max="4608" width="21.88671875" style="58" customWidth="1"/>
    <col min="4609" max="4642" width="2.6640625" style="58" customWidth="1"/>
    <col min="4643" max="4857" width="9.109375" style="58"/>
    <col min="4858" max="4858" width="29.6640625" style="58" customWidth="1"/>
    <col min="4859" max="4859" width="49" style="58" customWidth="1"/>
    <col min="4860" max="4860" width="24.6640625" style="58" customWidth="1"/>
    <col min="4861" max="4861" width="15.33203125" style="58" customWidth="1"/>
    <col min="4862" max="4862" width="15.5546875" style="58" customWidth="1"/>
    <col min="4863" max="4863" width="10.44140625" style="58" customWidth="1"/>
    <col min="4864" max="4864" width="21.88671875" style="58" customWidth="1"/>
    <col min="4865" max="4898" width="2.6640625" style="58" customWidth="1"/>
    <col min="4899" max="5113" width="9.109375" style="58"/>
    <col min="5114" max="5114" width="29.6640625" style="58" customWidth="1"/>
    <col min="5115" max="5115" width="49" style="58" customWidth="1"/>
    <col min="5116" max="5116" width="24.6640625" style="58" customWidth="1"/>
    <col min="5117" max="5117" width="15.33203125" style="58" customWidth="1"/>
    <col min="5118" max="5118" width="15.5546875" style="58" customWidth="1"/>
    <col min="5119" max="5119" width="10.44140625" style="58" customWidth="1"/>
    <col min="5120" max="5120" width="21.88671875" style="58" customWidth="1"/>
    <col min="5121" max="5154" width="2.6640625" style="58" customWidth="1"/>
    <col min="5155" max="5369" width="9.109375" style="58"/>
    <col min="5370" max="5370" width="29.6640625" style="58" customWidth="1"/>
    <col min="5371" max="5371" width="49" style="58" customWidth="1"/>
    <col min="5372" max="5372" width="24.6640625" style="58" customWidth="1"/>
    <col min="5373" max="5373" width="15.33203125" style="58" customWidth="1"/>
    <col min="5374" max="5374" width="15.5546875" style="58" customWidth="1"/>
    <col min="5375" max="5375" width="10.44140625" style="58" customWidth="1"/>
    <col min="5376" max="5376" width="21.88671875" style="58" customWidth="1"/>
    <col min="5377" max="5410" width="2.6640625" style="58" customWidth="1"/>
    <col min="5411" max="5625" width="9.109375" style="58"/>
    <col min="5626" max="5626" width="29.6640625" style="58" customWidth="1"/>
    <col min="5627" max="5627" width="49" style="58" customWidth="1"/>
    <col min="5628" max="5628" width="24.6640625" style="58" customWidth="1"/>
    <col min="5629" max="5629" width="15.33203125" style="58" customWidth="1"/>
    <col min="5630" max="5630" width="15.5546875" style="58" customWidth="1"/>
    <col min="5631" max="5631" width="10.44140625" style="58" customWidth="1"/>
    <col min="5632" max="5632" width="21.88671875" style="58" customWidth="1"/>
    <col min="5633" max="5666" width="2.6640625" style="58" customWidth="1"/>
    <col min="5667" max="5881" width="9.109375" style="58"/>
    <col min="5882" max="5882" width="29.6640625" style="58" customWidth="1"/>
    <col min="5883" max="5883" width="49" style="58" customWidth="1"/>
    <col min="5884" max="5884" width="24.6640625" style="58" customWidth="1"/>
    <col min="5885" max="5885" width="15.33203125" style="58" customWidth="1"/>
    <col min="5886" max="5886" width="15.5546875" style="58" customWidth="1"/>
    <col min="5887" max="5887" width="10.44140625" style="58" customWidth="1"/>
    <col min="5888" max="5888" width="21.88671875" style="58" customWidth="1"/>
    <col min="5889" max="5922" width="2.6640625" style="58" customWidth="1"/>
    <col min="5923" max="6137" width="9.109375" style="58"/>
    <col min="6138" max="6138" width="29.6640625" style="58" customWidth="1"/>
    <col min="6139" max="6139" width="49" style="58" customWidth="1"/>
    <col min="6140" max="6140" width="24.6640625" style="58" customWidth="1"/>
    <col min="6141" max="6141" width="15.33203125" style="58" customWidth="1"/>
    <col min="6142" max="6142" width="15.5546875" style="58" customWidth="1"/>
    <col min="6143" max="6143" width="10.44140625" style="58" customWidth="1"/>
    <col min="6144" max="6144" width="21.88671875" style="58" customWidth="1"/>
    <col min="6145" max="6178" width="2.6640625" style="58" customWidth="1"/>
    <col min="6179" max="6393" width="9.109375" style="58"/>
    <col min="6394" max="6394" width="29.6640625" style="58" customWidth="1"/>
    <col min="6395" max="6395" width="49" style="58" customWidth="1"/>
    <col min="6396" max="6396" width="24.6640625" style="58" customWidth="1"/>
    <col min="6397" max="6397" width="15.33203125" style="58" customWidth="1"/>
    <col min="6398" max="6398" width="15.5546875" style="58" customWidth="1"/>
    <col min="6399" max="6399" width="10.44140625" style="58" customWidth="1"/>
    <col min="6400" max="6400" width="21.88671875" style="58" customWidth="1"/>
    <col min="6401" max="6434" width="2.6640625" style="58" customWidth="1"/>
    <col min="6435" max="6649" width="9.109375" style="58"/>
    <col min="6650" max="6650" width="29.6640625" style="58" customWidth="1"/>
    <col min="6651" max="6651" width="49" style="58" customWidth="1"/>
    <col min="6652" max="6652" width="24.6640625" style="58" customWidth="1"/>
    <col min="6653" max="6653" width="15.33203125" style="58" customWidth="1"/>
    <col min="6654" max="6654" width="15.5546875" style="58" customWidth="1"/>
    <col min="6655" max="6655" width="10.44140625" style="58" customWidth="1"/>
    <col min="6656" max="6656" width="21.88671875" style="58" customWidth="1"/>
    <col min="6657" max="6690" width="2.6640625" style="58" customWidth="1"/>
    <col min="6691" max="6905" width="9.109375" style="58"/>
    <col min="6906" max="6906" width="29.6640625" style="58" customWidth="1"/>
    <col min="6907" max="6907" width="49" style="58" customWidth="1"/>
    <col min="6908" max="6908" width="24.6640625" style="58" customWidth="1"/>
    <col min="6909" max="6909" width="15.33203125" style="58" customWidth="1"/>
    <col min="6910" max="6910" width="15.5546875" style="58" customWidth="1"/>
    <col min="6911" max="6911" width="10.44140625" style="58" customWidth="1"/>
    <col min="6912" max="6912" width="21.88671875" style="58" customWidth="1"/>
    <col min="6913" max="6946" width="2.6640625" style="58" customWidth="1"/>
    <col min="6947" max="7161" width="9.109375" style="58"/>
    <col min="7162" max="7162" width="29.6640625" style="58" customWidth="1"/>
    <col min="7163" max="7163" width="49" style="58" customWidth="1"/>
    <col min="7164" max="7164" width="24.6640625" style="58" customWidth="1"/>
    <col min="7165" max="7165" width="15.33203125" style="58" customWidth="1"/>
    <col min="7166" max="7166" width="15.5546875" style="58" customWidth="1"/>
    <col min="7167" max="7167" width="10.44140625" style="58" customWidth="1"/>
    <col min="7168" max="7168" width="21.88671875" style="58" customWidth="1"/>
    <col min="7169" max="7202" width="2.6640625" style="58" customWidth="1"/>
    <col min="7203" max="7417" width="9.109375" style="58"/>
    <col min="7418" max="7418" width="29.6640625" style="58" customWidth="1"/>
    <col min="7419" max="7419" width="49" style="58" customWidth="1"/>
    <col min="7420" max="7420" width="24.6640625" style="58" customWidth="1"/>
    <col min="7421" max="7421" width="15.33203125" style="58" customWidth="1"/>
    <col min="7422" max="7422" width="15.5546875" style="58" customWidth="1"/>
    <col min="7423" max="7423" width="10.44140625" style="58" customWidth="1"/>
    <col min="7424" max="7424" width="21.88671875" style="58" customWidth="1"/>
    <col min="7425" max="7458" width="2.6640625" style="58" customWidth="1"/>
    <col min="7459" max="7673" width="9.109375" style="58"/>
    <col min="7674" max="7674" width="29.6640625" style="58" customWidth="1"/>
    <col min="7675" max="7675" width="49" style="58" customWidth="1"/>
    <col min="7676" max="7676" width="24.6640625" style="58" customWidth="1"/>
    <col min="7677" max="7677" width="15.33203125" style="58" customWidth="1"/>
    <col min="7678" max="7678" width="15.5546875" style="58" customWidth="1"/>
    <col min="7679" max="7679" width="10.44140625" style="58" customWidth="1"/>
    <col min="7680" max="7680" width="21.88671875" style="58" customWidth="1"/>
    <col min="7681" max="7714" width="2.6640625" style="58" customWidth="1"/>
    <col min="7715" max="7929" width="9.109375" style="58"/>
    <col min="7930" max="7930" width="29.6640625" style="58" customWidth="1"/>
    <col min="7931" max="7931" width="49" style="58" customWidth="1"/>
    <col min="7932" max="7932" width="24.6640625" style="58" customWidth="1"/>
    <col min="7933" max="7933" width="15.33203125" style="58" customWidth="1"/>
    <col min="7934" max="7934" width="15.5546875" style="58" customWidth="1"/>
    <col min="7935" max="7935" width="10.44140625" style="58" customWidth="1"/>
    <col min="7936" max="7936" width="21.88671875" style="58" customWidth="1"/>
    <col min="7937" max="7970" width="2.6640625" style="58" customWidth="1"/>
    <col min="7971" max="8185" width="9.109375" style="58"/>
    <col min="8186" max="8186" width="29.6640625" style="58" customWidth="1"/>
    <col min="8187" max="8187" width="49" style="58" customWidth="1"/>
    <col min="8188" max="8188" width="24.6640625" style="58" customWidth="1"/>
    <col min="8189" max="8189" width="15.33203125" style="58" customWidth="1"/>
    <col min="8190" max="8190" width="15.5546875" style="58" customWidth="1"/>
    <col min="8191" max="8191" width="10.44140625" style="58" customWidth="1"/>
    <col min="8192" max="8192" width="21.88671875" style="58" customWidth="1"/>
    <col min="8193" max="8226" width="2.6640625" style="58" customWidth="1"/>
    <col min="8227" max="8441" width="9.109375" style="58"/>
    <col min="8442" max="8442" width="29.6640625" style="58" customWidth="1"/>
    <col min="8443" max="8443" width="49" style="58" customWidth="1"/>
    <col min="8444" max="8444" width="24.6640625" style="58" customWidth="1"/>
    <col min="8445" max="8445" width="15.33203125" style="58" customWidth="1"/>
    <col min="8446" max="8446" width="15.5546875" style="58" customWidth="1"/>
    <col min="8447" max="8447" width="10.44140625" style="58" customWidth="1"/>
    <col min="8448" max="8448" width="21.88671875" style="58" customWidth="1"/>
    <col min="8449" max="8482" width="2.6640625" style="58" customWidth="1"/>
    <col min="8483" max="8697" width="9.109375" style="58"/>
    <col min="8698" max="8698" width="29.6640625" style="58" customWidth="1"/>
    <col min="8699" max="8699" width="49" style="58" customWidth="1"/>
    <col min="8700" max="8700" width="24.6640625" style="58" customWidth="1"/>
    <col min="8701" max="8701" width="15.33203125" style="58" customWidth="1"/>
    <col min="8702" max="8702" width="15.5546875" style="58" customWidth="1"/>
    <col min="8703" max="8703" width="10.44140625" style="58" customWidth="1"/>
    <col min="8704" max="8704" width="21.88671875" style="58" customWidth="1"/>
    <col min="8705" max="8738" width="2.6640625" style="58" customWidth="1"/>
    <col min="8739" max="8953" width="9.109375" style="58"/>
    <col min="8954" max="8954" width="29.6640625" style="58" customWidth="1"/>
    <col min="8955" max="8955" width="49" style="58" customWidth="1"/>
    <col min="8956" max="8956" width="24.6640625" style="58" customWidth="1"/>
    <col min="8957" max="8957" width="15.33203125" style="58" customWidth="1"/>
    <col min="8958" max="8958" width="15.5546875" style="58" customWidth="1"/>
    <col min="8959" max="8959" width="10.44140625" style="58" customWidth="1"/>
    <col min="8960" max="8960" width="21.88671875" style="58" customWidth="1"/>
    <col min="8961" max="8994" width="2.6640625" style="58" customWidth="1"/>
    <col min="8995" max="9209" width="9.109375" style="58"/>
    <col min="9210" max="9210" width="29.6640625" style="58" customWidth="1"/>
    <col min="9211" max="9211" width="49" style="58" customWidth="1"/>
    <col min="9212" max="9212" width="24.6640625" style="58" customWidth="1"/>
    <col min="9213" max="9213" width="15.33203125" style="58" customWidth="1"/>
    <col min="9214" max="9214" width="15.5546875" style="58" customWidth="1"/>
    <col min="9215" max="9215" width="10.44140625" style="58" customWidth="1"/>
    <col min="9216" max="9216" width="21.88671875" style="58" customWidth="1"/>
    <col min="9217" max="9250" width="2.6640625" style="58" customWidth="1"/>
    <col min="9251" max="9465" width="9.109375" style="58"/>
    <col min="9466" max="9466" width="29.6640625" style="58" customWidth="1"/>
    <col min="9467" max="9467" width="49" style="58" customWidth="1"/>
    <col min="9468" max="9468" width="24.6640625" style="58" customWidth="1"/>
    <col min="9469" max="9469" width="15.33203125" style="58" customWidth="1"/>
    <col min="9470" max="9470" width="15.5546875" style="58" customWidth="1"/>
    <col min="9471" max="9471" width="10.44140625" style="58" customWidth="1"/>
    <col min="9472" max="9472" width="21.88671875" style="58" customWidth="1"/>
    <col min="9473" max="9506" width="2.6640625" style="58" customWidth="1"/>
    <col min="9507" max="9721" width="9.109375" style="58"/>
    <col min="9722" max="9722" width="29.6640625" style="58" customWidth="1"/>
    <col min="9723" max="9723" width="49" style="58" customWidth="1"/>
    <col min="9724" max="9724" width="24.6640625" style="58" customWidth="1"/>
    <col min="9725" max="9725" width="15.33203125" style="58" customWidth="1"/>
    <col min="9726" max="9726" width="15.5546875" style="58" customWidth="1"/>
    <col min="9727" max="9727" width="10.44140625" style="58" customWidth="1"/>
    <col min="9728" max="9728" width="21.88671875" style="58" customWidth="1"/>
    <col min="9729" max="9762" width="2.6640625" style="58" customWidth="1"/>
    <col min="9763" max="9977" width="9.109375" style="58"/>
    <col min="9978" max="9978" width="29.6640625" style="58" customWidth="1"/>
    <col min="9979" max="9979" width="49" style="58" customWidth="1"/>
    <col min="9980" max="9980" width="24.6640625" style="58" customWidth="1"/>
    <col min="9981" max="9981" width="15.33203125" style="58" customWidth="1"/>
    <col min="9982" max="9982" width="15.5546875" style="58" customWidth="1"/>
    <col min="9983" max="9983" width="10.44140625" style="58" customWidth="1"/>
    <col min="9984" max="9984" width="21.88671875" style="58" customWidth="1"/>
    <col min="9985" max="10018" width="2.6640625" style="58" customWidth="1"/>
    <col min="10019" max="10233" width="9.109375" style="58"/>
    <col min="10234" max="10234" width="29.6640625" style="58" customWidth="1"/>
    <col min="10235" max="10235" width="49" style="58" customWidth="1"/>
    <col min="10236" max="10236" width="24.6640625" style="58" customWidth="1"/>
    <col min="10237" max="10237" width="15.33203125" style="58" customWidth="1"/>
    <col min="10238" max="10238" width="15.5546875" style="58" customWidth="1"/>
    <col min="10239" max="10239" width="10.44140625" style="58" customWidth="1"/>
    <col min="10240" max="10240" width="21.88671875" style="58" customWidth="1"/>
    <col min="10241" max="10274" width="2.6640625" style="58" customWidth="1"/>
    <col min="10275" max="10489" width="9.109375" style="58"/>
    <col min="10490" max="10490" width="29.6640625" style="58" customWidth="1"/>
    <col min="10491" max="10491" width="49" style="58" customWidth="1"/>
    <col min="10492" max="10492" width="24.6640625" style="58" customWidth="1"/>
    <col min="10493" max="10493" width="15.33203125" style="58" customWidth="1"/>
    <col min="10494" max="10494" width="15.5546875" style="58" customWidth="1"/>
    <col min="10495" max="10495" width="10.44140625" style="58" customWidth="1"/>
    <col min="10496" max="10496" width="21.88671875" style="58" customWidth="1"/>
    <col min="10497" max="10530" width="2.6640625" style="58" customWidth="1"/>
    <col min="10531" max="10745" width="9.109375" style="58"/>
    <col min="10746" max="10746" width="29.6640625" style="58" customWidth="1"/>
    <col min="10747" max="10747" width="49" style="58" customWidth="1"/>
    <col min="10748" max="10748" width="24.6640625" style="58" customWidth="1"/>
    <col min="10749" max="10749" width="15.33203125" style="58" customWidth="1"/>
    <col min="10750" max="10750" width="15.5546875" style="58" customWidth="1"/>
    <col min="10751" max="10751" width="10.44140625" style="58" customWidth="1"/>
    <col min="10752" max="10752" width="21.88671875" style="58" customWidth="1"/>
    <col min="10753" max="10786" width="2.6640625" style="58" customWidth="1"/>
    <col min="10787" max="11001" width="9.109375" style="58"/>
    <col min="11002" max="11002" width="29.6640625" style="58" customWidth="1"/>
    <col min="11003" max="11003" width="49" style="58" customWidth="1"/>
    <col min="11004" max="11004" width="24.6640625" style="58" customWidth="1"/>
    <col min="11005" max="11005" width="15.33203125" style="58" customWidth="1"/>
    <col min="11006" max="11006" width="15.5546875" style="58" customWidth="1"/>
    <col min="11007" max="11007" width="10.44140625" style="58" customWidth="1"/>
    <col min="11008" max="11008" width="21.88671875" style="58" customWidth="1"/>
    <col min="11009" max="11042" width="2.6640625" style="58" customWidth="1"/>
    <col min="11043" max="11257" width="9.109375" style="58"/>
    <col min="11258" max="11258" width="29.6640625" style="58" customWidth="1"/>
    <col min="11259" max="11259" width="49" style="58" customWidth="1"/>
    <col min="11260" max="11260" width="24.6640625" style="58" customWidth="1"/>
    <col min="11261" max="11261" width="15.33203125" style="58" customWidth="1"/>
    <col min="11262" max="11262" width="15.5546875" style="58" customWidth="1"/>
    <col min="11263" max="11263" width="10.44140625" style="58" customWidth="1"/>
    <col min="11264" max="11264" width="21.88671875" style="58" customWidth="1"/>
    <col min="11265" max="11298" width="2.6640625" style="58" customWidth="1"/>
    <col min="11299" max="11513" width="9.109375" style="58"/>
    <col min="11514" max="11514" width="29.6640625" style="58" customWidth="1"/>
    <col min="11515" max="11515" width="49" style="58" customWidth="1"/>
    <col min="11516" max="11516" width="24.6640625" style="58" customWidth="1"/>
    <col min="11517" max="11517" width="15.33203125" style="58" customWidth="1"/>
    <col min="11518" max="11518" width="15.5546875" style="58" customWidth="1"/>
    <col min="11519" max="11519" width="10.44140625" style="58" customWidth="1"/>
    <col min="11520" max="11520" width="21.88671875" style="58" customWidth="1"/>
    <col min="11521" max="11554" width="2.6640625" style="58" customWidth="1"/>
    <col min="11555" max="11769" width="9.109375" style="58"/>
    <col min="11770" max="11770" width="29.6640625" style="58" customWidth="1"/>
    <col min="11771" max="11771" width="49" style="58" customWidth="1"/>
    <col min="11772" max="11772" width="24.6640625" style="58" customWidth="1"/>
    <col min="11773" max="11773" width="15.33203125" style="58" customWidth="1"/>
    <col min="11774" max="11774" width="15.5546875" style="58" customWidth="1"/>
    <col min="11775" max="11775" width="10.44140625" style="58" customWidth="1"/>
    <col min="11776" max="11776" width="21.88671875" style="58" customWidth="1"/>
    <col min="11777" max="11810" width="2.6640625" style="58" customWidth="1"/>
    <col min="11811" max="12025" width="9.109375" style="58"/>
    <col min="12026" max="12026" width="29.6640625" style="58" customWidth="1"/>
    <col min="12027" max="12027" width="49" style="58" customWidth="1"/>
    <col min="12028" max="12028" width="24.6640625" style="58" customWidth="1"/>
    <col min="12029" max="12029" width="15.33203125" style="58" customWidth="1"/>
    <col min="12030" max="12030" width="15.5546875" style="58" customWidth="1"/>
    <col min="12031" max="12031" width="10.44140625" style="58" customWidth="1"/>
    <col min="12032" max="12032" width="21.88671875" style="58" customWidth="1"/>
    <col min="12033" max="12066" width="2.6640625" style="58" customWidth="1"/>
    <col min="12067" max="12281" width="9.109375" style="58"/>
    <col min="12282" max="12282" width="29.6640625" style="58" customWidth="1"/>
    <col min="12283" max="12283" width="49" style="58" customWidth="1"/>
    <col min="12284" max="12284" width="24.6640625" style="58" customWidth="1"/>
    <col min="12285" max="12285" width="15.33203125" style="58" customWidth="1"/>
    <col min="12286" max="12286" width="15.5546875" style="58" customWidth="1"/>
    <col min="12287" max="12287" width="10.44140625" style="58" customWidth="1"/>
    <col min="12288" max="12288" width="21.88671875" style="58" customWidth="1"/>
    <col min="12289" max="12322" width="2.6640625" style="58" customWidth="1"/>
    <col min="12323" max="12537" width="9.109375" style="58"/>
    <col min="12538" max="12538" width="29.6640625" style="58" customWidth="1"/>
    <col min="12539" max="12539" width="49" style="58" customWidth="1"/>
    <col min="12540" max="12540" width="24.6640625" style="58" customWidth="1"/>
    <col min="12541" max="12541" width="15.33203125" style="58" customWidth="1"/>
    <col min="12542" max="12542" width="15.5546875" style="58" customWidth="1"/>
    <col min="12543" max="12543" width="10.44140625" style="58" customWidth="1"/>
    <col min="12544" max="12544" width="21.88671875" style="58" customWidth="1"/>
    <col min="12545" max="12578" width="2.6640625" style="58" customWidth="1"/>
    <col min="12579" max="12793" width="9.109375" style="58"/>
    <col min="12794" max="12794" width="29.6640625" style="58" customWidth="1"/>
    <col min="12795" max="12795" width="49" style="58" customWidth="1"/>
    <col min="12796" max="12796" width="24.6640625" style="58" customWidth="1"/>
    <col min="12797" max="12797" width="15.33203125" style="58" customWidth="1"/>
    <col min="12798" max="12798" width="15.5546875" style="58" customWidth="1"/>
    <col min="12799" max="12799" width="10.44140625" style="58" customWidth="1"/>
    <col min="12800" max="12800" width="21.88671875" style="58" customWidth="1"/>
    <col min="12801" max="12834" width="2.6640625" style="58" customWidth="1"/>
    <col min="12835" max="13049" width="9.109375" style="58"/>
    <col min="13050" max="13050" width="29.6640625" style="58" customWidth="1"/>
    <col min="13051" max="13051" width="49" style="58" customWidth="1"/>
    <col min="13052" max="13052" width="24.6640625" style="58" customWidth="1"/>
    <col min="13053" max="13053" width="15.33203125" style="58" customWidth="1"/>
    <col min="13054" max="13054" width="15.5546875" style="58" customWidth="1"/>
    <col min="13055" max="13055" width="10.44140625" style="58" customWidth="1"/>
    <col min="13056" max="13056" width="21.88671875" style="58" customWidth="1"/>
    <col min="13057" max="13090" width="2.6640625" style="58" customWidth="1"/>
    <col min="13091" max="13305" width="9.109375" style="58"/>
    <col min="13306" max="13306" width="29.6640625" style="58" customWidth="1"/>
    <col min="13307" max="13307" width="49" style="58" customWidth="1"/>
    <col min="13308" max="13308" width="24.6640625" style="58" customWidth="1"/>
    <col min="13309" max="13309" width="15.33203125" style="58" customWidth="1"/>
    <col min="13310" max="13310" width="15.5546875" style="58" customWidth="1"/>
    <col min="13311" max="13311" width="10.44140625" style="58" customWidth="1"/>
    <col min="13312" max="13312" width="21.88671875" style="58" customWidth="1"/>
    <col min="13313" max="13346" width="2.6640625" style="58" customWidth="1"/>
    <col min="13347" max="13561" width="9.109375" style="58"/>
    <col min="13562" max="13562" width="29.6640625" style="58" customWidth="1"/>
    <col min="13563" max="13563" width="49" style="58" customWidth="1"/>
    <col min="13564" max="13564" width="24.6640625" style="58" customWidth="1"/>
    <col min="13565" max="13565" width="15.33203125" style="58" customWidth="1"/>
    <col min="13566" max="13566" width="15.5546875" style="58" customWidth="1"/>
    <col min="13567" max="13567" width="10.44140625" style="58" customWidth="1"/>
    <col min="13568" max="13568" width="21.88671875" style="58" customWidth="1"/>
    <col min="13569" max="13602" width="2.6640625" style="58" customWidth="1"/>
    <col min="13603" max="13817" width="9.109375" style="58"/>
    <col min="13818" max="13818" width="29.6640625" style="58" customWidth="1"/>
    <col min="13819" max="13819" width="49" style="58" customWidth="1"/>
    <col min="13820" max="13820" width="24.6640625" style="58" customWidth="1"/>
    <col min="13821" max="13821" width="15.33203125" style="58" customWidth="1"/>
    <col min="13822" max="13822" width="15.5546875" style="58" customWidth="1"/>
    <col min="13823" max="13823" width="10.44140625" style="58" customWidth="1"/>
    <col min="13824" max="13824" width="21.88671875" style="58" customWidth="1"/>
    <col min="13825" max="13858" width="2.6640625" style="58" customWidth="1"/>
    <col min="13859" max="14073" width="9.109375" style="58"/>
    <col min="14074" max="14074" width="29.6640625" style="58" customWidth="1"/>
    <col min="14075" max="14075" width="49" style="58" customWidth="1"/>
    <col min="14076" max="14076" width="24.6640625" style="58" customWidth="1"/>
    <col min="14077" max="14077" width="15.33203125" style="58" customWidth="1"/>
    <col min="14078" max="14078" width="15.5546875" style="58" customWidth="1"/>
    <col min="14079" max="14079" width="10.44140625" style="58" customWidth="1"/>
    <col min="14080" max="14080" width="21.88671875" style="58" customWidth="1"/>
    <col min="14081" max="14114" width="2.6640625" style="58" customWidth="1"/>
    <col min="14115" max="14329" width="9.109375" style="58"/>
    <col min="14330" max="14330" width="29.6640625" style="58" customWidth="1"/>
    <col min="14331" max="14331" width="49" style="58" customWidth="1"/>
    <col min="14332" max="14332" width="24.6640625" style="58" customWidth="1"/>
    <col min="14333" max="14333" width="15.33203125" style="58" customWidth="1"/>
    <col min="14334" max="14334" width="15.5546875" style="58" customWidth="1"/>
    <col min="14335" max="14335" width="10.44140625" style="58" customWidth="1"/>
    <col min="14336" max="14336" width="21.88671875" style="58" customWidth="1"/>
    <col min="14337" max="14370" width="2.6640625" style="58" customWidth="1"/>
    <col min="14371" max="14585" width="9.109375" style="58"/>
    <col min="14586" max="14586" width="29.6640625" style="58" customWidth="1"/>
    <col min="14587" max="14587" width="49" style="58" customWidth="1"/>
    <col min="14588" max="14588" width="24.6640625" style="58" customWidth="1"/>
    <col min="14589" max="14589" width="15.33203125" style="58" customWidth="1"/>
    <col min="14590" max="14590" width="15.5546875" style="58" customWidth="1"/>
    <col min="14591" max="14591" width="10.44140625" style="58" customWidth="1"/>
    <col min="14592" max="14592" width="21.88671875" style="58" customWidth="1"/>
    <col min="14593" max="14626" width="2.6640625" style="58" customWidth="1"/>
    <col min="14627" max="14841" width="9.109375" style="58"/>
    <col min="14842" max="14842" width="29.6640625" style="58" customWidth="1"/>
    <col min="14843" max="14843" width="49" style="58" customWidth="1"/>
    <col min="14844" max="14844" width="24.6640625" style="58" customWidth="1"/>
    <col min="14845" max="14845" width="15.33203125" style="58" customWidth="1"/>
    <col min="14846" max="14846" width="15.5546875" style="58" customWidth="1"/>
    <col min="14847" max="14847" width="10.44140625" style="58" customWidth="1"/>
    <col min="14848" max="14848" width="21.88671875" style="58" customWidth="1"/>
    <col min="14849" max="14882" width="2.6640625" style="58" customWidth="1"/>
    <col min="14883" max="15097" width="9.109375" style="58"/>
    <col min="15098" max="15098" width="29.6640625" style="58" customWidth="1"/>
    <col min="15099" max="15099" width="49" style="58" customWidth="1"/>
    <col min="15100" max="15100" width="24.6640625" style="58" customWidth="1"/>
    <col min="15101" max="15101" width="15.33203125" style="58" customWidth="1"/>
    <col min="15102" max="15102" width="15.5546875" style="58" customWidth="1"/>
    <col min="15103" max="15103" width="10.44140625" style="58" customWidth="1"/>
    <col min="15104" max="15104" width="21.88671875" style="58" customWidth="1"/>
    <col min="15105" max="15138" width="2.6640625" style="58" customWidth="1"/>
    <col min="15139" max="15353" width="9.109375" style="58"/>
    <col min="15354" max="15354" width="29.6640625" style="58" customWidth="1"/>
    <col min="15355" max="15355" width="49" style="58" customWidth="1"/>
    <col min="15356" max="15356" width="24.6640625" style="58" customWidth="1"/>
    <col min="15357" max="15357" width="15.33203125" style="58" customWidth="1"/>
    <col min="15358" max="15358" width="15.5546875" style="58" customWidth="1"/>
    <col min="15359" max="15359" width="10.44140625" style="58" customWidth="1"/>
    <col min="15360" max="15360" width="21.88671875" style="58" customWidth="1"/>
    <col min="15361" max="15394" width="2.6640625" style="58" customWidth="1"/>
    <col min="15395" max="15609" width="9.109375" style="58"/>
    <col min="15610" max="15610" width="29.6640625" style="58" customWidth="1"/>
    <col min="15611" max="15611" width="49" style="58" customWidth="1"/>
    <col min="15612" max="15612" width="24.6640625" style="58" customWidth="1"/>
    <col min="15613" max="15613" width="15.33203125" style="58" customWidth="1"/>
    <col min="15614" max="15614" width="15.5546875" style="58" customWidth="1"/>
    <col min="15615" max="15615" width="10.44140625" style="58" customWidth="1"/>
    <col min="15616" max="15616" width="21.88671875" style="58" customWidth="1"/>
    <col min="15617" max="15650" width="2.6640625" style="58" customWidth="1"/>
    <col min="15651" max="15865" width="9.109375" style="58"/>
    <col min="15866" max="15866" width="29.6640625" style="58" customWidth="1"/>
    <col min="15867" max="15867" width="49" style="58" customWidth="1"/>
    <col min="15868" max="15868" width="24.6640625" style="58" customWidth="1"/>
    <col min="15869" max="15869" width="15.33203125" style="58" customWidth="1"/>
    <col min="15870" max="15870" width="15.5546875" style="58" customWidth="1"/>
    <col min="15871" max="15871" width="10.44140625" style="58" customWidth="1"/>
    <col min="15872" max="15872" width="21.88671875" style="58" customWidth="1"/>
    <col min="15873" max="15906" width="2.6640625" style="58" customWidth="1"/>
    <col min="15907" max="16121" width="9.109375" style="58"/>
    <col min="16122" max="16122" width="29.6640625" style="58" customWidth="1"/>
    <col min="16123" max="16123" width="49" style="58" customWidth="1"/>
    <col min="16124" max="16124" width="24.6640625" style="58" customWidth="1"/>
    <col min="16125" max="16125" width="15.33203125" style="58" customWidth="1"/>
    <col min="16126" max="16126" width="15.5546875" style="58" customWidth="1"/>
    <col min="16127" max="16127" width="10.44140625" style="58" customWidth="1"/>
    <col min="16128" max="16128" width="21.88671875" style="58" customWidth="1"/>
    <col min="16129" max="16162" width="2.6640625" style="58" customWidth="1"/>
    <col min="16163" max="16384" width="9.109375" style="58"/>
  </cols>
  <sheetData>
    <row r="2" spans="1:5" ht="39.6" x14ac:dyDescent="0.3">
      <c r="B2" s="124" t="s">
        <v>482</v>
      </c>
      <c r="C2" s="125" t="s">
        <v>483</v>
      </c>
    </row>
    <row r="5" spans="1:5" ht="13.8" thickBot="1" x14ac:dyDescent="0.35"/>
    <row r="6" spans="1:5" ht="27.75" customHeight="1" thickBot="1" x14ac:dyDescent="0.35">
      <c r="A6" s="56" t="s">
        <v>133</v>
      </c>
      <c r="B6" s="57" t="s">
        <v>134</v>
      </c>
      <c r="C6" s="57" t="s">
        <v>135</v>
      </c>
      <c r="D6" s="57" t="s">
        <v>136</v>
      </c>
    </row>
    <row r="7" spans="1:5" ht="30" customHeight="1" x14ac:dyDescent="0.3">
      <c r="A7" s="59" t="s">
        <v>137</v>
      </c>
      <c r="B7" s="60" t="s">
        <v>484</v>
      </c>
      <c r="C7" s="61" t="s">
        <v>485</v>
      </c>
      <c r="D7" s="61" t="s">
        <v>486</v>
      </c>
      <c r="E7" s="61"/>
    </row>
    <row r="8" spans="1:5" s="65" customFormat="1" ht="10.199999999999999" x14ac:dyDescent="0.3">
      <c r="A8" s="62"/>
      <c r="B8" s="63"/>
      <c r="C8" s="64"/>
    </row>
    <row r="9" spans="1:5" ht="60" customHeight="1" x14ac:dyDescent="0.3">
      <c r="A9" s="66" t="s">
        <v>138</v>
      </c>
      <c r="B9" s="60" t="s">
        <v>487</v>
      </c>
      <c r="C9" s="61" t="s">
        <v>524</v>
      </c>
      <c r="D9" s="61" t="s">
        <v>525</v>
      </c>
      <c r="E9" s="61"/>
    </row>
    <row r="10" spans="1:5" s="65" customFormat="1" x14ac:dyDescent="0.3">
      <c r="A10" s="62"/>
      <c r="B10" s="67"/>
      <c r="C10" s="68"/>
    </row>
    <row r="11" spans="1:5" ht="30" customHeight="1" x14ac:dyDescent="0.3">
      <c r="A11" s="66" t="s">
        <v>139</v>
      </c>
      <c r="B11" s="60" t="s">
        <v>488</v>
      </c>
      <c r="C11" s="61" t="s">
        <v>489</v>
      </c>
      <c r="D11" s="61" t="s">
        <v>490</v>
      </c>
      <c r="E11" s="61"/>
    </row>
    <row r="12" spans="1:5" x14ac:dyDescent="0.3">
      <c r="A12" s="62"/>
      <c r="B12" s="67"/>
      <c r="C12" s="68"/>
      <c r="D12" s="68"/>
    </row>
    <row r="13" spans="1:5" x14ac:dyDescent="0.3">
      <c r="A13" s="69" t="s">
        <v>140</v>
      </c>
      <c r="B13" s="60" t="s">
        <v>481</v>
      </c>
      <c r="C13" s="61" t="s">
        <v>491</v>
      </c>
      <c r="D13" s="61" t="s">
        <v>492</v>
      </c>
      <c r="E13" s="61"/>
    </row>
    <row r="16" spans="1:5" ht="15" customHeight="1" x14ac:dyDescent="0.3"/>
    <row r="90" spans="1:1" x14ac:dyDescent="0.3">
      <c r="A90" s="69" t="e">
        <f>CONCATENATE(ПОДПИСИ!B13," ",ПОДПИСИ!#REF!)</f>
        <v>#REF!</v>
      </c>
    </row>
  </sheetData>
  <pageMargins left="0.74803149606299213" right="0.24" top="0.59055118110236227" bottom="0.6692913385826772" header="0.51181102362204722" footer="0.51181102362204722"/>
  <pageSetup paperSize="9" scale="76" firstPageNumber="0" orientation="portrait" horizontalDpi="300" verticalDpi="300" r:id="rId1"/>
  <headerFooter alignWithMargins="0"/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2492-5679-4DAF-9A25-3CA89E190A1C}">
  <dimension ref="A1:D30"/>
  <sheetViews>
    <sheetView workbookViewId="0"/>
  </sheetViews>
  <sheetFormatPr defaultRowHeight="14.4" x14ac:dyDescent="0.3"/>
  <cols>
    <col min="1" max="1" width="45.5546875" customWidth="1"/>
    <col min="2" max="2" width="31.33203125" customWidth="1"/>
  </cols>
  <sheetData>
    <row r="1" spans="1:4" ht="33" thickBot="1" x14ac:dyDescent="0.35">
      <c r="A1" s="128" t="s">
        <v>355</v>
      </c>
      <c r="B1" s="129" t="s">
        <v>356</v>
      </c>
      <c r="C1" s="129" t="s">
        <v>357</v>
      </c>
      <c r="D1" s="130">
        <v>5711.15</v>
      </c>
    </row>
    <row r="2" spans="1:4" ht="33" thickBot="1" x14ac:dyDescent="0.35">
      <c r="A2" s="131" t="s">
        <v>398</v>
      </c>
      <c r="B2" s="133" t="s">
        <v>399</v>
      </c>
      <c r="C2" s="133" t="s">
        <v>357</v>
      </c>
      <c r="D2" s="133">
        <v>402.96</v>
      </c>
    </row>
    <row r="3" spans="1:4" ht="16.8" thickBot="1" x14ac:dyDescent="0.35">
      <c r="A3" s="131" t="s">
        <v>358</v>
      </c>
      <c r="B3" s="133" t="s">
        <v>359</v>
      </c>
      <c r="C3" s="133" t="s">
        <v>360</v>
      </c>
      <c r="D3" s="133">
        <v>21</v>
      </c>
    </row>
    <row r="4" spans="1:4" ht="16.8" thickBot="1" x14ac:dyDescent="0.35">
      <c r="A4" s="131" t="s">
        <v>361</v>
      </c>
      <c r="B4" s="133" t="s">
        <v>362</v>
      </c>
      <c r="C4" s="133" t="s">
        <v>363</v>
      </c>
      <c r="D4" s="133">
        <v>2</v>
      </c>
    </row>
    <row r="5" spans="1:4" ht="16.2" x14ac:dyDescent="0.3">
      <c r="A5" s="143" t="s">
        <v>364</v>
      </c>
      <c r="B5" s="136" t="s">
        <v>386</v>
      </c>
      <c r="C5" s="142" t="s">
        <v>357</v>
      </c>
      <c r="D5" s="141">
        <v>1360.3000000000002</v>
      </c>
    </row>
    <row r="6" spans="1:4" ht="16.2" x14ac:dyDescent="0.3">
      <c r="A6" s="135" t="s">
        <v>403</v>
      </c>
      <c r="B6" s="136" t="s">
        <v>404</v>
      </c>
      <c r="C6" s="136" t="s">
        <v>357</v>
      </c>
      <c r="D6" s="137">
        <v>158.45999999999998</v>
      </c>
    </row>
    <row r="7" spans="1:4" ht="16.8" thickBot="1" x14ac:dyDescent="0.35">
      <c r="A7" s="131" t="s">
        <v>365</v>
      </c>
      <c r="B7" s="134"/>
      <c r="C7" s="133" t="s">
        <v>363</v>
      </c>
      <c r="D7" s="138">
        <v>252</v>
      </c>
    </row>
    <row r="8" spans="1:4" ht="16.8" thickBot="1" x14ac:dyDescent="0.35">
      <c r="A8" s="131" t="s">
        <v>366</v>
      </c>
      <c r="B8" s="133" t="s">
        <v>367</v>
      </c>
      <c r="C8" s="133" t="s">
        <v>363</v>
      </c>
      <c r="D8" s="133">
        <v>52</v>
      </c>
    </row>
    <row r="9" spans="1:4" ht="16.8" thickBot="1" x14ac:dyDescent="0.35">
      <c r="A9" s="131" t="s">
        <v>368</v>
      </c>
      <c r="B9" s="134"/>
      <c r="C9" s="133" t="s">
        <v>363</v>
      </c>
      <c r="D9" s="133">
        <v>18</v>
      </c>
    </row>
    <row r="10" spans="1:4" ht="16.8" thickBot="1" x14ac:dyDescent="0.35">
      <c r="A10" s="131" t="s">
        <v>369</v>
      </c>
      <c r="B10" s="133" t="s">
        <v>370</v>
      </c>
      <c r="C10" s="133" t="s">
        <v>363</v>
      </c>
      <c r="D10" s="139">
        <v>2706</v>
      </c>
    </row>
    <row r="11" spans="1:4" ht="16.8" thickBot="1" x14ac:dyDescent="0.35">
      <c r="A11" s="131" t="s">
        <v>371</v>
      </c>
      <c r="B11" s="132"/>
      <c r="C11" s="133" t="s">
        <v>372</v>
      </c>
      <c r="D11" s="139">
        <v>240.72</v>
      </c>
    </row>
    <row r="12" spans="1:4" ht="16.8" thickBot="1" x14ac:dyDescent="0.35">
      <c r="A12" s="131" t="s">
        <v>381</v>
      </c>
      <c r="B12" s="133" t="s">
        <v>402</v>
      </c>
      <c r="C12" s="133" t="s">
        <v>382</v>
      </c>
      <c r="D12" s="140">
        <v>26.414999999999999</v>
      </c>
    </row>
    <row r="13" spans="1:4" ht="16.8" thickBot="1" x14ac:dyDescent="0.35">
      <c r="A13" s="131" t="s">
        <v>383</v>
      </c>
      <c r="B13" s="133" t="s">
        <v>384</v>
      </c>
      <c r="C13" s="133" t="s">
        <v>382</v>
      </c>
      <c r="D13" s="140">
        <v>2.6414999999999997</v>
      </c>
    </row>
    <row r="14" spans="1:4" ht="16.8" thickBot="1" x14ac:dyDescent="0.35">
      <c r="A14" s="131" t="s">
        <v>385</v>
      </c>
      <c r="B14" s="134"/>
      <c r="C14" s="133" t="s">
        <v>372</v>
      </c>
      <c r="D14" s="140">
        <v>1320.8200000000002</v>
      </c>
    </row>
    <row r="15" spans="1:4" ht="16.8" thickBot="1" x14ac:dyDescent="0.35">
      <c r="A15" s="128" t="s">
        <v>387</v>
      </c>
      <c r="B15" s="129" t="s">
        <v>388</v>
      </c>
      <c r="C15" s="129" t="s">
        <v>363</v>
      </c>
      <c r="D15" s="129">
        <v>2</v>
      </c>
    </row>
    <row r="16" spans="1:4" ht="16.8" thickBot="1" x14ac:dyDescent="0.35">
      <c r="A16" s="131" t="s">
        <v>389</v>
      </c>
      <c r="B16" s="134"/>
      <c r="C16" s="133" t="s">
        <v>357</v>
      </c>
      <c r="D16" s="133">
        <v>28.48</v>
      </c>
    </row>
    <row r="17" spans="1:4" ht="16.8" thickBot="1" x14ac:dyDescent="0.35">
      <c r="A17" s="131" t="s">
        <v>390</v>
      </c>
      <c r="B17" s="134"/>
      <c r="C17" s="133" t="s">
        <v>363</v>
      </c>
      <c r="D17" s="133">
        <v>4</v>
      </c>
    </row>
    <row r="18" spans="1:4" ht="16.8" thickBot="1" x14ac:dyDescent="0.35">
      <c r="A18" s="131" t="s">
        <v>391</v>
      </c>
      <c r="B18" s="132"/>
      <c r="C18" s="133" t="s">
        <v>363</v>
      </c>
      <c r="D18" s="133">
        <v>4</v>
      </c>
    </row>
    <row r="19" spans="1:4" ht="16.8" thickBot="1" x14ac:dyDescent="0.35">
      <c r="A19" s="131" t="s">
        <v>392</v>
      </c>
      <c r="B19" s="134"/>
      <c r="C19" s="133" t="s">
        <v>357</v>
      </c>
      <c r="D19" s="133">
        <v>12</v>
      </c>
    </row>
    <row r="20" spans="1:4" ht="16.8" thickBot="1" x14ac:dyDescent="0.35">
      <c r="A20" s="131" t="s">
        <v>393</v>
      </c>
      <c r="B20" s="133" t="s">
        <v>394</v>
      </c>
      <c r="C20" s="133" t="s">
        <v>363</v>
      </c>
      <c r="D20" s="133">
        <v>12</v>
      </c>
    </row>
    <row r="21" spans="1:4" ht="16.8" thickBot="1" x14ac:dyDescent="0.35">
      <c r="A21" s="131" t="s">
        <v>395</v>
      </c>
      <c r="B21" s="133" t="s">
        <v>396</v>
      </c>
      <c r="C21" s="133" t="s">
        <v>363</v>
      </c>
      <c r="D21" s="133">
        <v>12</v>
      </c>
    </row>
    <row r="22" spans="1:4" ht="16.8" thickBot="1" x14ac:dyDescent="0.35">
      <c r="A22" s="131" t="s">
        <v>397</v>
      </c>
      <c r="B22" s="132"/>
      <c r="C22" s="133" t="s">
        <v>372</v>
      </c>
      <c r="D22" s="133">
        <v>0.4</v>
      </c>
    </row>
    <row r="23" spans="1:4" ht="16.8" thickBot="1" x14ac:dyDescent="0.35">
      <c r="A23" s="131" t="s">
        <v>361</v>
      </c>
      <c r="B23" s="133" t="s">
        <v>400</v>
      </c>
      <c r="C23" s="133" t="s">
        <v>363</v>
      </c>
      <c r="D23" s="133">
        <v>6</v>
      </c>
    </row>
    <row r="24" spans="1:4" ht="16.8" thickBot="1" x14ac:dyDescent="0.35">
      <c r="A24" s="128" t="s">
        <v>401</v>
      </c>
      <c r="B24" s="144"/>
      <c r="C24" s="129" t="s">
        <v>363</v>
      </c>
      <c r="D24" s="129">
        <v>465</v>
      </c>
    </row>
    <row r="25" spans="1:4" ht="33" thickBot="1" x14ac:dyDescent="0.35">
      <c r="A25" s="131" t="s">
        <v>373</v>
      </c>
      <c r="B25" s="134"/>
      <c r="C25" s="133" t="s">
        <v>372</v>
      </c>
      <c r="D25" s="139">
        <v>4.875</v>
      </c>
    </row>
    <row r="26" spans="1:4" ht="33" thickBot="1" x14ac:dyDescent="0.35">
      <c r="A26" s="131" t="s">
        <v>374</v>
      </c>
      <c r="B26" s="134"/>
      <c r="C26" s="133" t="s">
        <v>372</v>
      </c>
      <c r="D26" s="139">
        <v>4.875</v>
      </c>
    </row>
    <row r="27" spans="1:4" ht="16.8" thickBot="1" x14ac:dyDescent="0.35">
      <c r="A27" s="131" t="s">
        <v>375</v>
      </c>
      <c r="B27" s="134"/>
      <c r="C27" s="133" t="s">
        <v>372</v>
      </c>
      <c r="D27" s="133">
        <v>24.57</v>
      </c>
    </row>
    <row r="28" spans="1:4" ht="16.8" thickBot="1" x14ac:dyDescent="0.35">
      <c r="A28" s="131" t="s">
        <v>376</v>
      </c>
      <c r="B28" s="133" t="s">
        <v>377</v>
      </c>
      <c r="C28" s="133" t="s">
        <v>378</v>
      </c>
      <c r="D28" s="139">
        <v>28.67</v>
      </c>
    </row>
    <row r="29" spans="1:4" ht="16.8" thickBot="1" x14ac:dyDescent="0.35">
      <c r="A29" s="131" t="s">
        <v>379</v>
      </c>
      <c r="B29" s="134"/>
      <c r="C29" s="133" t="s">
        <v>372</v>
      </c>
      <c r="D29" s="140">
        <v>2819.5</v>
      </c>
    </row>
    <row r="30" spans="1:4" ht="16.8" thickBot="1" x14ac:dyDescent="0.35">
      <c r="A30" s="131" t="s">
        <v>380</v>
      </c>
      <c r="B30" s="134"/>
      <c r="C30" s="133" t="s">
        <v>378</v>
      </c>
      <c r="D30" s="140">
        <v>125.85</v>
      </c>
    </row>
  </sheetData>
  <conditionalFormatting sqref="A1:A1048576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7CE9-1109-4374-BFBF-A689875A2B4C}">
  <sheetPr>
    <tabColor theme="8" tint="0.79998168889431442"/>
  </sheetPr>
  <dimension ref="A1:AJ58"/>
  <sheetViews>
    <sheetView view="pageBreakPreview" zoomScale="60" zoomScaleNormal="100" workbookViewId="0"/>
  </sheetViews>
  <sheetFormatPr defaultColWidth="8.88671875" defaultRowHeight="13.2" x14ac:dyDescent="0.25"/>
  <cols>
    <col min="1" max="1" width="1.44140625" style="1" customWidth="1"/>
    <col min="2" max="2" width="4.88671875" style="1" customWidth="1"/>
    <col min="3" max="5" width="4.44140625" style="1" customWidth="1"/>
    <col min="6" max="6" width="6" style="1" customWidth="1"/>
    <col min="7" max="7" width="4.44140625" style="1" customWidth="1"/>
    <col min="8" max="19" width="4.88671875" style="1" customWidth="1"/>
    <col min="20" max="28" width="4.44140625" style="1" customWidth="1"/>
    <col min="29" max="29" width="6.88671875" style="1" customWidth="1"/>
    <col min="30" max="30" width="11.109375" style="1" customWidth="1"/>
    <col min="31" max="31" width="8.88671875" style="1"/>
    <col min="32" max="32" width="24.44140625" style="1" customWidth="1"/>
    <col min="33" max="35" width="8.88671875" style="1"/>
    <col min="36" max="36" width="54.33203125" style="1" customWidth="1"/>
    <col min="37" max="257" width="8.88671875" style="1"/>
    <col min="258" max="258" width="4.88671875" style="1" customWidth="1"/>
    <col min="259" max="286" width="4.44140625" style="1" customWidth="1"/>
    <col min="287" max="513" width="8.88671875" style="1"/>
    <col min="514" max="514" width="4.88671875" style="1" customWidth="1"/>
    <col min="515" max="542" width="4.44140625" style="1" customWidth="1"/>
    <col min="543" max="769" width="8.88671875" style="1"/>
    <col min="770" max="770" width="4.88671875" style="1" customWidth="1"/>
    <col min="771" max="798" width="4.44140625" style="1" customWidth="1"/>
    <col min="799" max="1025" width="8.88671875" style="1"/>
    <col min="1026" max="1026" width="4.88671875" style="1" customWidth="1"/>
    <col min="1027" max="1054" width="4.44140625" style="1" customWidth="1"/>
    <col min="1055" max="1281" width="8.88671875" style="1"/>
    <col min="1282" max="1282" width="4.88671875" style="1" customWidth="1"/>
    <col min="1283" max="1310" width="4.44140625" style="1" customWidth="1"/>
    <col min="1311" max="1537" width="8.88671875" style="1"/>
    <col min="1538" max="1538" width="4.88671875" style="1" customWidth="1"/>
    <col min="1539" max="1566" width="4.44140625" style="1" customWidth="1"/>
    <col min="1567" max="1793" width="8.88671875" style="1"/>
    <col min="1794" max="1794" width="4.88671875" style="1" customWidth="1"/>
    <col min="1795" max="1822" width="4.44140625" style="1" customWidth="1"/>
    <col min="1823" max="2049" width="8.88671875" style="1"/>
    <col min="2050" max="2050" width="4.88671875" style="1" customWidth="1"/>
    <col min="2051" max="2078" width="4.44140625" style="1" customWidth="1"/>
    <col min="2079" max="2305" width="8.88671875" style="1"/>
    <col min="2306" max="2306" width="4.88671875" style="1" customWidth="1"/>
    <col min="2307" max="2334" width="4.44140625" style="1" customWidth="1"/>
    <col min="2335" max="2561" width="8.88671875" style="1"/>
    <col min="2562" max="2562" width="4.88671875" style="1" customWidth="1"/>
    <col min="2563" max="2590" width="4.44140625" style="1" customWidth="1"/>
    <col min="2591" max="2817" width="8.88671875" style="1"/>
    <col min="2818" max="2818" width="4.88671875" style="1" customWidth="1"/>
    <col min="2819" max="2846" width="4.44140625" style="1" customWidth="1"/>
    <col min="2847" max="3073" width="8.88671875" style="1"/>
    <col min="3074" max="3074" width="4.88671875" style="1" customWidth="1"/>
    <col min="3075" max="3102" width="4.44140625" style="1" customWidth="1"/>
    <col min="3103" max="3329" width="8.88671875" style="1"/>
    <col min="3330" max="3330" width="4.88671875" style="1" customWidth="1"/>
    <col min="3331" max="3358" width="4.44140625" style="1" customWidth="1"/>
    <col min="3359" max="3585" width="8.88671875" style="1"/>
    <col min="3586" max="3586" width="4.88671875" style="1" customWidth="1"/>
    <col min="3587" max="3614" width="4.44140625" style="1" customWidth="1"/>
    <col min="3615" max="3841" width="8.88671875" style="1"/>
    <col min="3842" max="3842" width="4.88671875" style="1" customWidth="1"/>
    <col min="3843" max="3870" width="4.44140625" style="1" customWidth="1"/>
    <col min="3871" max="4097" width="8.88671875" style="1"/>
    <col min="4098" max="4098" width="4.88671875" style="1" customWidth="1"/>
    <col min="4099" max="4126" width="4.44140625" style="1" customWidth="1"/>
    <col min="4127" max="4353" width="8.88671875" style="1"/>
    <col min="4354" max="4354" width="4.88671875" style="1" customWidth="1"/>
    <col min="4355" max="4382" width="4.44140625" style="1" customWidth="1"/>
    <col min="4383" max="4609" width="8.88671875" style="1"/>
    <col min="4610" max="4610" width="4.88671875" style="1" customWidth="1"/>
    <col min="4611" max="4638" width="4.44140625" style="1" customWidth="1"/>
    <col min="4639" max="4865" width="8.88671875" style="1"/>
    <col min="4866" max="4866" width="4.88671875" style="1" customWidth="1"/>
    <col min="4867" max="4894" width="4.44140625" style="1" customWidth="1"/>
    <col min="4895" max="5121" width="8.88671875" style="1"/>
    <col min="5122" max="5122" width="4.88671875" style="1" customWidth="1"/>
    <col min="5123" max="5150" width="4.44140625" style="1" customWidth="1"/>
    <col min="5151" max="5377" width="8.88671875" style="1"/>
    <col min="5378" max="5378" width="4.88671875" style="1" customWidth="1"/>
    <col min="5379" max="5406" width="4.44140625" style="1" customWidth="1"/>
    <col min="5407" max="5633" width="8.88671875" style="1"/>
    <col min="5634" max="5634" width="4.88671875" style="1" customWidth="1"/>
    <col min="5635" max="5662" width="4.44140625" style="1" customWidth="1"/>
    <col min="5663" max="5889" width="8.88671875" style="1"/>
    <col min="5890" max="5890" width="4.88671875" style="1" customWidth="1"/>
    <col min="5891" max="5918" width="4.44140625" style="1" customWidth="1"/>
    <col min="5919" max="6145" width="8.88671875" style="1"/>
    <col min="6146" max="6146" width="4.88671875" style="1" customWidth="1"/>
    <col min="6147" max="6174" width="4.44140625" style="1" customWidth="1"/>
    <col min="6175" max="6401" width="8.88671875" style="1"/>
    <col min="6402" max="6402" width="4.88671875" style="1" customWidth="1"/>
    <col min="6403" max="6430" width="4.44140625" style="1" customWidth="1"/>
    <col min="6431" max="6657" width="8.88671875" style="1"/>
    <col min="6658" max="6658" width="4.88671875" style="1" customWidth="1"/>
    <col min="6659" max="6686" width="4.44140625" style="1" customWidth="1"/>
    <col min="6687" max="6913" width="8.88671875" style="1"/>
    <col min="6914" max="6914" width="4.88671875" style="1" customWidth="1"/>
    <col min="6915" max="6942" width="4.44140625" style="1" customWidth="1"/>
    <col min="6943" max="7169" width="8.88671875" style="1"/>
    <col min="7170" max="7170" width="4.88671875" style="1" customWidth="1"/>
    <col min="7171" max="7198" width="4.44140625" style="1" customWidth="1"/>
    <col min="7199" max="7425" width="8.88671875" style="1"/>
    <col min="7426" max="7426" width="4.88671875" style="1" customWidth="1"/>
    <col min="7427" max="7454" width="4.44140625" style="1" customWidth="1"/>
    <col min="7455" max="7681" width="8.88671875" style="1"/>
    <col min="7682" max="7682" width="4.88671875" style="1" customWidth="1"/>
    <col min="7683" max="7710" width="4.44140625" style="1" customWidth="1"/>
    <col min="7711" max="7937" width="8.88671875" style="1"/>
    <col min="7938" max="7938" width="4.88671875" style="1" customWidth="1"/>
    <col min="7939" max="7966" width="4.44140625" style="1" customWidth="1"/>
    <col min="7967" max="8193" width="8.88671875" style="1"/>
    <col min="8194" max="8194" width="4.88671875" style="1" customWidth="1"/>
    <col min="8195" max="8222" width="4.44140625" style="1" customWidth="1"/>
    <col min="8223" max="8449" width="8.88671875" style="1"/>
    <col min="8450" max="8450" width="4.88671875" style="1" customWidth="1"/>
    <col min="8451" max="8478" width="4.44140625" style="1" customWidth="1"/>
    <col min="8479" max="8705" width="8.88671875" style="1"/>
    <col min="8706" max="8706" width="4.88671875" style="1" customWidth="1"/>
    <col min="8707" max="8734" width="4.44140625" style="1" customWidth="1"/>
    <col min="8735" max="8961" width="8.88671875" style="1"/>
    <col min="8962" max="8962" width="4.88671875" style="1" customWidth="1"/>
    <col min="8963" max="8990" width="4.44140625" style="1" customWidth="1"/>
    <col min="8991" max="9217" width="8.88671875" style="1"/>
    <col min="9218" max="9218" width="4.88671875" style="1" customWidth="1"/>
    <col min="9219" max="9246" width="4.44140625" style="1" customWidth="1"/>
    <col min="9247" max="9473" width="8.88671875" style="1"/>
    <col min="9474" max="9474" width="4.88671875" style="1" customWidth="1"/>
    <col min="9475" max="9502" width="4.44140625" style="1" customWidth="1"/>
    <col min="9503" max="9729" width="8.88671875" style="1"/>
    <col min="9730" max="9730" width="4.88671875" style="1" customWidth="1"/>
    <col min="9731" max="9758" width="4.44140625" style="1" customWidth="1"/>
    <col min="9759" max="9985" width="8.88671875" style="1"/>
    <col min="9986" max="9986" width="4.88671875" style="1" customWidth="1"/>
    <col min="9987" max="10014" width="4.44140625" style="1" customWidth="1"/>
    <col min="10015" max="10241" width="8.88671875" style="1"/>
    <col min="10242" max="10242" width="4.88671875" style="1" customWidth="1"/>
    <col min="10243" max="10270" width="4.44140625" style="1" customWidth="1"/>
    <col min="10271" max="10497" width="8.88671875" style="1"/>
    <col min="10498" max="10498" width="4.88671875" style="1" customWidth="1"/>
    <col min="10499" max="10526" width="4.44140625" style="1" customWidth="1"/>
    <col min="10527" max="10753" width="8.88671875" style="1"/>
    <col min="10754" max="10754" width="4.88671875" style="1" customWidth="1"/>
    <col min="10755" max="10782" width="4.44140625" style="1" customWidth="1"/>
    <col min="10783" max="11009" width="8.88671875" style="1"/>
    <col min="11010" max="11010" width="4.88671875" style="1" customWidth="1"/>
    <col min="11011" max="11038" width="4.44140625" style="1" customWidth="1"/>
    <col min="11039" max="11265" width="8.88671875" style="1"/>
    <col min="11266" max="11266" width="4.88671875" style="1" customWidth="1"/>
    <col min="11267" max="11294" width="4.44140625" style="1" customWidth="1"/>
    <col min="11295" max="11521" width="8.88671875" style="1"/>
    <col min="11522" max="11522" width="4.88671875" style="1" customWidth="1"/>
    <col min="11523" max="11550" width="4.44140625" style="1" customWidth="1"/>
    <col min="11551" max="11777" width="8.88671875" style="1"/>
    <col min="11778" max="11778" width="4.88671875" style="1" customWidth="1"/>
    <col min="11779" max="11806" width="4.44140625" style="1" customWidth="1"/>
    <col min="11807" max="12033" width="8.88671875" style="1"/>
    <col min="12034" max="12034" width="4.88671875" style="1" customWidth="1"/>
    <col min="12035" max="12062" width="4.44140625" style="1" customWidth="1"/>
    <col min="12063" max="12289" width="8.88671875" style="1"/>
    <col min="12290" max="12290" width="4.88671875" style="1" customWidth="1"/>
    <col min="12291" max="12318" width="4.44140625" style="1" customWidth="1"/>
    <col min="12319" max="12545" width="8.88671875" style="1"/>
    <col min="12546" max="12546" width="4.88671875" style="1" customWidth="1"/>
    <col min="12547" max="12574" width="4.44140625" style="1" customWidth="1"/>
    <col min="12575" max="12801" width="8.88671875" style="1"/>
    <col min="12802" max="12802" width="4.88671875" style="1" customWidth="1"/>
    <col min="12803" max="12830" width="4.44140625" style="1" customWidth="1"/>
    <col min="12831" max="13057" width="8.88671875" style="1"/>
    <col min="13058" max="13058" width="4.88671875" style="1" customWidth="1"/>
    <col min="13059" max="13086" width="4.44140625" style="1" customWidth="1"/>
    <col min="13087" max="13313" width="8.88671875" style="1"/>
    <col min="13314" max="13314" width="4.88671875" style="1" customWidth="1"/>
    <col min="13315" max="13342" width="4.44140625" style="1" customWidth="1"/>
    <col min="13343" max="13569" width="8.88671875" style="1"/>
    <col min="13570" max="13570" width="4.88671875" style="1" customWidth="1"/>
    <col min="13571" max="13598" width="4.44140625" style="1" customWidth="1"/>
    <col min="13599" max="13825" width="8.88671875" style="1"/>
    <col min="13826" max="13826" width="4.88671875" style="1" customWidth="1"/>
    <col min="13827" max="13854" width="4.44140625" style="1" customWidth="1"/>
    <col min="13855" max="14081" width="8.88671875" style="1"/>
    <col min="14082" max="14082" width="4.88671875" style="1" customWidth="1"/>
    <col min="14083" max="14110" width="4.44140625" style="1" customWidth="1"/>
    <col min="14111" max="14337" width="8.88671875" style="1"/>
    <col min="14338" max="14338" width="4.88671875" style="1" customWidth="1"/>
    <col min="14339" max="14366" width="4.44140625" style="1" customWidth="1"/>
    <col min="14367" max="14593" width="8.88671875" style="1"/>
    <col min="14594" max="14594" width="4.88671875" style="1" customWidth="1"/>
    <col min="14595" max="14622" width="4.44140625" style="1" customWidth="1"/>
    <col min="14623" max="14849" width="8.88671875" style="1"/>
    <col min="14850" max="14850" width="4.88671875" style="1" customWidth="1"/>
    <col min="14851" max="14878" width="4.44140625" style="1" customWidth="1"/>
    <col min="14879" max="15105" width="8.88671875" style="1"/>
    <col min="15106" max="15106" width="4.88671875" style="1" customWidth="1"/>
    <col min="15107" max="15134" width="4.44140625" style="1" customWidth="1"/>
    <col min="15135" max="15361" width="8.88671875" style="1"/>
    <col min="15362" max="15362" width="4.88671875" style="1" customWidth="1"/>
    <col min="15363" max="15390" width="4.44140625" style="1" customWidth="1"/>
    <col min="15391" max="15617" width="8.88671875" style="1"/>
    <col min="15618" max="15618" width="4.88671875" style="1" customWidth="1"/>
    <col min="15619" max="15646" width="4.44140625" style="1" customWidth="1"/>
    <col min="15647" max="15873" width="8.88671875" style="1"/>
    <col min="15874" max="15874" width="4.88671875" style="1" customWidth="1"/>
    <col min="15875" max="15902" width="4.44140625" style="1" customWidth="1"/>
    <col min="15903" max="16129" width="8.88671875" style="1"/>
    <col min="16130" max="16130" width="4.88671875" style="1" customWidth="1"/>
    <col min="16131" max="16158" width="4.44140625" style="1" customWidth="1"/>
    <col min="16159" max="16384" width="8.88671875" style="1"/>
  </cols>
  <sheetData>
    <row r="1" spans="1:36" ht="12.75" customHeight="1" x14ac:dyDescent="0.25">
      <c r="W1" s="152"/>
      <c r="X1" s="152"/>
      <c r="Y1" s="152"/>
      <c r="Z1" s="152"/>
      <c r="AA1" s="152"/>
      <c r="AB1" s="152"/>
      <c r="AC1" s="152"/>
      <c r="AD1" s="152"/>
    </row>
    <row r="2" spans="1:36" ht="12.75" customHeight="1" x14ac:dyDescent="0.25">
      <c r="V2" s="152" t="s">
        <v>178</v>
      </c>
      <c r="W2" s="152"/>
      <c r="X2" s="152"/>
      <c r="Y2" s="152"/>
      <c r="Z2" s="152"/>
      <c r="AA2" s="152"/>
      <c r="AB2" s="152"/>
      <c r="AC2" s="152"/>
    </row>
    <row r="3" spans="1:36" ht="21.75" customHeight="1" x14ac:dyDescent="0.25">
      <c r="AF3" s="18"/>
    </row>
    <row r="4" spans="1:36" ht="21.75" hidden="1" customHeight="1" x14ac:dyDescent="0.25">
      <c r="AF4" s="18"/>
    </row>
    <row r="5" spans="1:36" ht="21.75" hidden="1" customHeight="1" x14ac:dyDescent="0.25">
      <c r="AF5" s="18"/>
    </row>
    <row r="6" spans="1:36" ht="21.75" hidden="1" customHeight="1" x14ac:dyDescent="0.25"/>
    <row r="7" spans="1:36" ht="14.25" customHeight="1" x14ac:dyDescent="0.25"/>
    <row r="8" spans="1:36" ht="64.8" customHeight="1" x14ac:dyDescent="0.25"/>
    <row r="9" spans="1:36" ht="22.5" customHeight="1" x14ac:dyDescent="0.25">
      <c r="B9" s="154" t="s">
        <v>0</v>
      </c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</row>
    <row r="10" spans="1:36" ht="22.5" customHeight="1" x14ac:dyDescent="0.4">
      <c r="B10" s="155" t="s">
        <v>179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</row>
    <row r="11" spans="1:36" ht="22.5" customHeight="1" x14ac:dyDescent="0.4">
      <c r="B11" s="155" t="s">
        <v>180</v>
      </c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</row>
    <row r="12" spans="1:36" ht="12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36" ht="12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36" ht="1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36" ht="12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36" ht="13.8" x14ac:dyDescent="0.25">
      <c r="A16" s="2"/>
      <c r="B16" s="2" t="s">
        <v>181</v>
      </c>
      <c r="C16" s="2"/>
      <c r="D16" s="2"/>
      <c r="E16" s="2"/>
      <c r="F16" s="2"/>
      <c r="G16" s="156" t="str">
        <f>ПОДПИСИ!B2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J16" s="87"/>
    </row>
    <row r="17" spans="1:30" ht="34.799999999999997" customHeight="1" x14ac:dyDescent="0.25">
      <c r="A17" s="2"/>
      <c r="B17" s="2"/>
      <c r="C17" s="2"/>
      <c r="D17" s="2"/>
      <c r="E17" s="2"/>
      <c r="F17" s="2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</row>
    <row r="18" spans="1:30" ht="15.75" customHeight="1" x14ac:dyDescent="0.25">
      <c r="A18" s="2"/>
      <c r="B18" s="2" t="s">
        <v>182</v>
      </c>
      <c r="C18" s="2"/>
      <c r="D18" s="2"/>
      <c r="E18" s="2"/>
      <c r="F18" s="2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</row>
    <row r="19" spans="1:30" ht="15" customHeight="1" x14ac:dyDescent="0.25">
      <c r="A19" s="2"/>
      <c r="B19" s="2"/>
      <c r="C19" s="2"/>
      <c r="D19" s="2"/>
      <c r="E19" s="2"/>
      <c r="F19" s="2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</row>
    <row r="20" spans="1:30" ht="16.5" customHeight="1" x14ac:dyDescent="0.3">
      <c r="B20" s="158" t="s">
        <v>184</v>
      </c>
      <c r="C20" s="158"/>
      <c r="D20" s="158"/>
      <c r="E20" s="158"/>
      <c r="F20" s="15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30" ht="33.75" customHeight="1" x14ac:dyDescent="0.35">
      <c r="B21" s="158"/>
      <c r="C21" s="158"/>
      <c r="D21" s="158"/>
      <c r="E21" s="158"/>
      <c r="F21" s="158"/>
      <c r="G21" s="159" t="str">
        <f>ПОДПИСИ!C2</f>
        <v>ООО «СЭТ»</v>
      </c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</row>
    <row r="25" spans="1:30" ht="12.75" customHeight="1" x14ac:dyDescent="0.25">
      <c r="V25" s="2"/>
      <c r="W25" s="2"/>
      <c r="X25" s="2"/>
      <c r="Y25" s="2"/>
      <c r="Z25" s="2"/>
      <c r="AA25" s="2"/>
      <c r="AB25" s="2"/>
      <c r="AC25" s="2"/>
      <c r="AD25" s="2"/>
    </row>
    <row r="26" spans="1:30" ht="15.6" x14ac:dyDescent="0.3">
      <c r="T26" s="152" t="s">
        <v>1</v>
      </c>
      <c r="U26" s="152"/>
      <c r="V26" s="153" t="s">
        <v>493</v>
      </c>
      <c r="W26" s="153"/>
      <c r="X26" s="153"/>
      <c r="Y26" s="153"/>
      <c r="Z26" s="153"/>
      <c r="AA26" s="2">
        <v>20</v>
      </c>
      <c r="AB26" s="88">
        <v>24</v>
      </c>
      <c r="AC26" s="2" t="s">
        <v>3</v>
      </c>
    </row>
    <row r="27" spans="1:30" ht="13.8" x14ac:dyDescent="0.25">
      <c r="T27" s="2"/>
      <c r="U27" s="2"/>
      <c r="V27" s="5"/>
      <c r="W27" s="5"/>
      <c r="X27" s="5"/>
      <c r="Y27" s="5"/>
      <c r="Z27" s="5"/>
      <c r="AA27" s="2"/>
      <c r="AB27" s="5"/>
      <c r="AC27" s="2"/>
    </row>
    <row r="28" spans="1:30" ht="15.6" x14ac:dyDescent="0.3">
      <c r="T28" s="152" t="s">
        <v>2</v>
      </c>
      <c r="U28" s="152"/>
      <c r="V28" s="153" t="s">
        <v>494</v>
      </c>
      <c r="W28" s="153"/>
      <c r="X28" s="153"/>
      <c r="Y28" s="153"/>
      <c r="Z28" s="153"/>
      <c r="AA28" s="2">
        <v>20</v>
      </c>
      <c r="AB28" s="88">
        <v>24</v>
      </c>
      <c r="AC28" s="2" t="s">
        <v>3</v>
      </c>
    </row>
    <row r="31" spans="1:30" ht="11.25" customHeight="1" x14ac:dyDescent="0.25"/>
    <row r="58" spans="6:6" x14ac:dyDescent="0.25">
      <c r="F58" s="1" t="s">
        <v>185</v>
      </c>
    </row>
  </sheetData>
  <mergeCells count="13">
    <mergeCell ref="T28:U28"/>
    <mergeCell ref="V28:Z28"/>
    <mergeCell ref="W1:AD1"/>
    <mergeCell ref="V2:AC2"/>
    <mergeCell ref="B9:AD9"/>
    <mergeCell ref="B10:AD10"/>
    <mergeCell ref="B11:AD11"/>
    <mergeCell ref="G16:AC17"/>
    <mergeCell ref="G18:AC19"/>
    <mergeCell ref="B20:F21"/>
    <mergeCell ref="G21:AC21"/>
    <mergeCell ref="T26:U26"/>
    <mergeCell ref="V26:Z26"/>
  </mergeCells>
  <pageMargins left="0.51181102362204722" right="0.51181102362204722" top="0.51181102362204722" bottom="0.51181102362204722" header="0.31496062992125984" footer="0.31496062992125984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5CB4-98C9-4365-A700-6EE5999BAD3C}">
  <sheetPr>
    <tabColor theme="8" tint="0.79998168889431442"/>
  </sheetPr>
  <dimension ref="A1:T198"/>
  <sheetViews>
    <sheetView view="pageBreakPreview" topLeftCell="A34" zoomScale="85" zoomScaleNormal="100" zoomScaleSheetLayoutView="85" workbookViewId="0"/>
  </sheetViews>
  <sheetFormatPr defaultRowHeight="14.4" x14ac:dyDescent="0.3"/>
  <cols>
    <col min="1" max="1" width="10.109375" style="120" customWidth="1"/>
    <col min="2" max="2" width="30.21875" style="121" customWidth="1"/>
    <col min="3" max="3" width="10.44140625" style="92" customWidth="1"/>
    <col min="4" max="4" width="15.88671875" style="92" customWidth="1"/>
    <col min="5" max="5" width="25" style="92" customWidth="1"/>
    <col min="6" max="6" width="12.33203125" style="97" customWidth="1"/>
    <col min="7" max="7" width="14.88671875" style="92" customWidth="1"/>
    <col min="8" max="8" width="22.6640625" style="92" customWidth="1"/>
    <col min="9" max="9" width="6.33203125" style="92" customWidth="1"/>
    <col min="10" max="10" width="7" style="92" customWidth="1"/>
    <col min="11" max="11" width="9.109375" style="122" customWidth="1"/>
    <col min="12" max="12" width="55" style="123" customWidth="1"/>
    <col min="13" max="13" width="40" style="123" customWidth="1"/>
    <col min="14" max="14" width="40" style="122" customWidth="1"/>
    <col min="15" max="15" width="12.109375" style="122" customWidth="1"/>
    <col min="16" max="17" width="8.88671875" style="95"/>
    <col min="18" max="18" width="38" style="95" customWidth="1"/>
    <col min="19" max="19" width="24.5546875" style="95" customWidth="1"/>
    <col min="20" max="16384" width="8.88671875" style="95"/>
  </cols>
  <sheetData>
    <row r="1" spans="1:16" ht="92.4" x14ac:dyDescent="0.3">
      <c r="A1" s="89" t="s">
        <v>186</v>
      </c>
      <c r="B1" s="89" t="s">
        <v>187</v>
      </c>
      <c r="C1" s="89" t="s">
        <v>188</v>
      </c>
      <c r="D1" s="89" t="s">
        <v>189</v>
      </c>
      <c r="E1" s="89" t="s">
        <v>190</v>
      </c>
      <c r="F1" s="90" t="s">
        <v>191</v>
      </c>
      <c r="G1" s="89" t="s">
        <v>192</v>
      </c>
      <c r="H1" s="89" t="s">
        <v>82</v>
      </c>
      <c r="I1" s="91"/>
      <c r="J1" s="91"/>
      <c r="K1" s="92"/>
      <c r="L1" s="93"/>
      <c r="M1" s="93"/>
      <c r="N1" s="92"/>
      <c r="O1" s="92"/>
      <c r="P1" s="94"/>
    </row>
    <row r="2" spans="1:16" x14ac:dyDescent="0.3">
      <c r="A2" s="96">
        <v>1</v>
      </c>
      <c r="B2" s="89">
        <v>2</v>
      </c>
      <c r="C2" s="89">
        <v>3</v>
      </c>
      <c r="D2" s="89">
        <v>4</v>
      </c>
      <c r="E2" s="89">
        <v>5</v>
      </c>
      <c r="F2" s="90">
        <v>6</v>
      </c>
      <c r="G2" s="89">
        <v>7</v>
      </c>
      <c r="H2" s="89">
        <v>8</v>
      </c>
      <c r="I2" s="91"/>
      <c r="J2" s="91"/>
      <c r="K2" s="92"/>
      <c r="L2" s="97"/>
      <c r="M2" s="97"/>
      <c r="N2" s="92"/>
      <c r="O2" s="92"/>
    </row>
    <row r="3" spans="1:16" ht="82.8" x14ac:dyDescent="0.3">
      <c r="A3" s="98">
        <v>45607</v>
      </c>
      <c r="B3" s="99" t="s">
        <v>498</v>
      </c>
      <c r="C3" s="98" t="s">
        <v>499</v>
      </c>
      <c r="D3" s="103" t="s">
        <v>195</v>
      </c>
      <c r="E3" s="103" t="s">
        <v>249</v>
      </c>
      <c r="F3" s="100" t="s">
        <v>193</v>
      </c>
      <c r="G3" s="101" t="s">
        <v>497</v>
      </c>
      <c r="H3" s="98"/>
      <c r="I3" s="91"/>
      <c r="J3" s="89"/>
      <c r="K3" s="92"/>
      <c r="L3" s="97"/>
      <c r="M3" s="97"/>
      <c r="N3" s="92"/>
      <c r="O3" s="92"/>
    </row>
    <row r="4" spans="1:16" ht="66" x14ac:dyDescent="0.3">
      <c r="A4" s="98">
        <v>45607</v>
      </c>
      <c r="B4" s="99" t="s">
        <v>500</v>
      </c>
      <c r="C4" s="98" t="s">
        <v>142</v>
      </c>
      <c r="D4" s="147" t="s">
        <v>512</v>
      </c>
      <c r="E4" s="147" t="s">
        <v>513</v>
      </c>
      <c r="F4" s="100" t="s">
        <v>193</v>
      </c>
      <c r="G4" s="101" t="s">
        <v>497</v>
      </c>
      <c r="H4" s="98"/>
      <c r="I4" s="91"/>
      <c r="J4" s="89"/>
      <c r="K4" s="92"/>
      <c r="L4" s="97"/>
      <c r="M4" s="97"/>
      <c r="N4" s="92"/>
      <c r="O4" s="92"/>
    </row>
    <row r="5" spans="1:16" ht="66" x14ac:dyDescent="0.3">
      <c r="A5" s="98">
        <v>45607</v>
      </c>
      <c r="B5" s="99" t="s">
        <v>501</v>
      </c>
      <c r="C5" s="98" t="s">
        <v>142</v>
      </c>
      <c r="D5" s="147" t="s">
        <v>512</v>
      </c>
      <c r="E5" s="147" t="s">
        <v>513</v>
      </c>
      <c r="F5" s="100" t="s">
        <v>193</v>
      </c>
      <c r="G5" s="101" t="s">
        <v>497</v>
      </c>
      <c r="H5" s="98"/>
      <c r="I5" s="91"/>
      <c r="J5" s="89">
        <v>1</v>
      </c>
      <c r="K5" s="92"/>
      <c r="L5" s="97"/>
      <c r="M5" s="97"/>
      <c r="N5" s="92"/>
      <c r="O5" s="92"/>
    </row>
    <row r="6" spans="1:16" ht="52.8" x14ac:dyDescent="0.3">
      <c r="A6" s="98">
        <v>45607</v>
      </c>
      <c r="B6" s="99" t="s">
        <v>502</v>
      </c>
      <c r="C6" s="98" t="s">
        <v>526</v>
      </c>
      <c r="D6" s="82" t="s">
        <v>510</v>
      </c>
      <c r="E6" s="146" t="s">
        <v>511</v>
      </c>
      <c r="F6" s="100" t="s">
        <v>193</v>
      </c>
      <c r="G6" s="101" t="s">
        <v>497</v>
      </c>
      <c r="H6" s="98"/>
      <c r="I6" s="91"/>
      <c r="J6" s="89">
        <v>1</v>
      </c>
      <c r="K6" s="92"/>
      <c r="L6" s="97"/>
      <c r="M6" s="97"/>
      <c r="N6" s="92"/>
      <c r="O6" s="92"/>
    </row>
    <row r="7" spans="1:16" ht="52.8" x14ac:dyDescent="0.3">
      <c r="A7" s="98">
        <v>45607</v>
      </c>
      <c r="B7" s="99" t="s">
        <v>503</v>
      </c>
      <c r="C7" s="98" t="s">
        <v>504</v>
      </c>
      <c r="D7" s="82" t="s">
        <v>510</v>
      </c>
      <c r="E7" s="146" t="s">
        <v>511</v>
      </c>
      <c r="F7" s="100" t="s">
        <v>193</v>
      </c>
      <c r="G7" s="101" t="s">
        <v>497</v>
      </c>
      <c r="H7" s="98"/>
      <c r="I7" s="91"/>
      <c r="J7" s="89">
        <v>1</v>
      </c>
      <c r="K7" s="92"/>
      <c r="L7" s="97"/>
      <c r="M7" s="97"/>
      <c r="N7" s="92"/>
      <c r="O7" s="92"/>
    </row>
    <row r="8" spans="1:16" ht="52.8" x14ac:dyDescent="0.3">
      <c r="A8" s="98">
        <v>45607</v>
      </c>
      <c r="B8" s="99" t="s">
        <v>505</v>
      </c>
      <c r="C8" s="98" t="s">
        <v>506</v>
      </c>
      <c r="D8" s="103" t="s">
        <v>195</v>
      </c>
      <c r="E8" s="103" t="s">
        <v>249</v>
      </c>
      <c r="F8" s="100" t="s">
        <v>193</v>
      </c>
      <c r="G8" s="101" t="s">
        <v>497</v>
      </c>
      <c r="H8" s="98"/>
      <c r="I8" s="91"/>
      <c r="J8" s="89"/>
      <c r="K8" s="92"/>
      <c r="L8" s="97"/>
      <c r="M8" s="97"/>
      <c r="N8" s="92"/>
      <c r="O8" s="92"/>
    </row>
    <row r="9" spans="1:16" ht="138" x14ac:dyDescent="0.3">
      <c r="A9" s="98">
        <v>45607</v>
      </c>
      <c r="B9" s="99" t="s">
        <v>507</v>
      </c>
      <c r="C9" s="98" t="s">
        <v>508</v>
      </c>
      <c r="D9" s="103" t="s">
        <v>514</v>
      </c>
      <c r="E9" s="103" t="s">
        <v>515</v>
      </c>
      <c r="F9" s="100" t="s">
        <v>193</v>
      </c>
      <c r="G9" s="101" t="s">
        <v>497</v>
      </c>
      <c r="H9" s="98"/>
      <c r="I9" s="91"/>
      <c r="J9" s="89">
        <v>1</v>
      </c>
      <c r="K9" s="92"/>
      <c r="L9" s="97">
        <f>18324+63</f>
        <v>18387</v>
      </c>
      <c r="M9" s="97"/>
      <c r="N9" s="92"/>
      <c r="O9" s="92"/>
    </row>
    <row r="10" spans="1:16" ht="69" x14ac:dyDescent="0.3">
      <c r="A10" s="98">
        <v>45607</v>
      </c>
      <c r="B10" s="99" t="s">
        <v>527</v>
      </c>
      <c r="C10" s="98" t="s">
        <v>240</v>
      </c>
      <c r="D10" s="103" t="s">
        <v>176</v>
      </c>
      <c r="E10" s="103" t="s">
        <v>177</v>
      </c>
      <c r="F10" s="100" t="s">
        <v>193</v>
      </c>
      <c r="G10" s="101" t="s">
        <v>497</v>
      </c>
      <c r="H10" s="98"/>
      <c r="I10" s="91"/>
      <c r="J10" s="89">
        <v>1</v>
      </c>
      <c r="K10" s="92"/>
      <c r="L10" s="97"/>
      <c r="M10" s="97"/>
      <c r="N10" s="92"/>
      <c r="O10" s="92"/>
    </row>
    <row r="11" spans="1:16" ht="52.8" x14ac:dyDescent="0.3">
      <c r="A11" s="98">
        <v>45607</v>
      </c>
      <c r="B11" s="99" t="s">
        <v>529</v>
      </c>
      <c r="C11" s="98" t="s">
        <v>530</v>
      </c>
      <c r="D11" s="103" t="s">
        <v>195</v>
      </c>
      <c r="E11" s="103" t="s">
        <v>249</v>
      </c>
      <c r="F11" s="100" t="s">
        <v>193</v>
      </c>
      <c r="G11" s="101" t="s">
        <v>497</v>
      </c>
      <c r="H11" s="98"/>
      <c r="I11" s="91"/>
      <c r="J11" s="89"/>
      <c r="K11" s="92"/>
      <c r="L11" s="97"/>
      <c r="M11" s="97"/>
      <c r="N11" s="92"/>
      <c r="O11" s="92"/>
    </row>
    <row r="12" spans="1:16" ht="69" x14ac:dyDescent="0.3">
      <c r="A12" s="98">
        <v>45607</v>
      </c>
      <c r="B12" s="99" t="s">
        <v>531</v>
      </c>
      <c r="C12" s="98" t="s">
        <v>272</v>
      </c>
      <c r="D12" s="82" t="s">
        <v>516</v>
      </c>
      <c r="E12" s="82" t="s">
        <v>517</v>
      </c>
      <c r="F12" s="100" t="s">
        <v>193</v>
      </c>
      <c r="G12" s="101" t="s">
        <v>497</v>
      </c>
      <c r="H12" s="98"/>
      <c r="I12" s="91"/>
      <c r="J12" s="89">
        <v>1</v>
      </c>
      <c r="K12" s="92"/>
      <c r="L12" s="97"/>
      <c r="M12" s="97"/>
      <c r="N12" s="92"/>
      <c r="O12" s="92"/>
    </row>
    <row r="13" spans="1:16" ht="69" x14ac:dyDescent="0.3">
      <c r="A13" s="98">
        <v>45607</v>
      </c>
      <c r="B13" s="99" t="s">
        <v>532</v>
      </c>
      <c r="C13" s="98" t="s">
        <v>240</v>
      </c>
      <c r="D13" s="82" t="s">
        <v>516</v>
      </c>
      <c r="E13" s="82" t="s">
        <v>517</v>
      </c>
      <c r="F13" s="100" t="s">
        <v>193</v>
      </c>
      <c r="G13" s="101" t="s">
        <v>497</v>
      </c>
      <c r="H13" s="98"/>
      <c r="I13" s="91"/>
      <c r="J13" s="89">
        <v>1</v>
      </c>
      <c r="K13" s="92"/>
      <c r="L13" s="97"/>
      <c r="M13" s="97"/>
      <c r="N13" s="92"/>
      <c r="O13" s="92"/>
    </row>
    <row r="14" spans="1:16" ht="69" x14ac:dyDescent="0.3">
      <c r="A14" s="98">
        <v>45607</v>
      </c>
      <c r="B14" s="99" t="s">
        <v>533</v>
      </c>
      <c r="C14" s="98" t="s">
        <v>534</v>
      </c>
      <c r="D14" s="82" t="s">
        <v>516</v>
      </c>
      <c r="E14" s="82" t="s">
        <v>517</v>
      </c>
      <c r="F14" s="100" t="s">
        <v>193</v>
      </c>
      <c r="G14" s="101" t="s">
        <v>497</v>
      </c>
      <c r="H14" s="98"/>
      <c r="I14" s="91"/>
      <c r="J14" s="89">
        <v>1</v>
      </c>
      <c r="K14" s="92"/>
      <c r="L14" s="97"/>
      <c r="M14" s="97"/>
      <c r="N14" s="92"/>
      <c r="O14" s="92"/>
    </row>
    <row r="15" spans="1:16" ht="69" x14ac:dyDescent="0.3">
      <c r="A15" s="98">
        <v>45607</v>
      </c>
      <c r="B15" s="99" t="s">
        <v>535</v>
      </c>
      <c r="C15" s="98" t="s">
        <v>142</v>
      </c>
      <c r="D15" s="82" t="s">
        <v>516</v>
      </c>
      <c r="E15" s="82" t="s">
        <v>517</v>
      </c>
      <c r="F15" s="100" t="s">
        <v>193</v>
      </c>
      <c r="G15" s="101" t="s">
        <v>497</v>
      </c>
      <c r="H15" s="89"/>
      <c r="I15" s="91"/>
      <c r="J15" s="89">
        <v>1</v>
      </c>
      <c r="K15" s="92"/>
      <c r="L15" s="97"/>
      <c r="M15" s="97"/>
      <c r="N15" s="92"/>
      <c r="O15" s="92"/>
    </row>
    <row r="16" spans="1:16" ht="69" x14ac:dyDescent="0.3">
      <c r="A16" s="98">
        <v>45607</v>
      </c>
      <c r="B16" s="99" t="s">
        <v>536</v>
      </c>
      <c r="C16" s="98" t="s">
        <v>142</v>
      </c>
      <c r="D16" s="82" t="s">
        <v>516</v>
      </c>
      <c r="E16" s="82" t="s">
        <v>517</v>
      </c>
      <c r="F16" s="100" t="s">
        <v>193</v>
      </c>
      <c r="G16" s="101" t="s">
        <v>497</v>
      </c>
      <c r="H16" s="89"/>
      <c r="I16" s="91"/>
      <c r="J16" s="89">
        <v>1</v>
      </c>
      <c r="K16" s="92"/>
      <c r="L16" s="97"/>
      <c r="M16" s="97"/>
      <c r="N16" s="92"/>
      <c r="O16" s="92"/>
    </row>
    <row r="17" spans="1:15" ht="69" x14ac:dyDescent="0.3">
      <c r="A17" s="98">
        <v>45607</v>
      </c>
      <c r="B17" s="99" t="s">
        <v>537</v>
      </c>
      <c r="C17" s="98" t="s">
        <v>272</v>
      </c>
      <c r="D17" s="82" t="s">
        <v>516</v>
      </c>
      <c r="E17" s="82" t="s">
        <v>517</v>
      </c>
      <c r="F17" s="100" t="s">
        <v>193</v>
      </c>
      <c r="G17" s="101" t="s">
        <v>497</v>
      </c>
      <c r="H17" s="89"/>
      <c r="I17" s="91"/>
      <c r="J17" s="89">
        <v>1</v>
      </c>
      <c r="K17" s="92"/>
      <c r="L17" s="97"/>
      <c r="M17" s="97"/>
      <c r="N17" s="92"/>
      <c r="O17" s="92"/>
    </row>
    <row r="18" spans="1:15" ht="69" x14ac:dyDescent="0.3">
      <c r="A18" s="98">
        <v>45607</v>
      </c>
      <c r="B18" s="99" t="s">
        <v>538</v>
      </c>
      <c r="C18" s="98" t="s">
        <v>272</v>
      </c>
      <c r="D18" s="82" t="s">
        <v>516</v>
      </c>
      <c r="E18" s="82" t="s">
        <v>517</v>
      </c>
      <c r="F18" s="100" t="s">
        <v>193</v>
      </c>
      <c r="G18" s="101" t="s">
        <v>497</v>
      </c>
      <c r="H18" s="89"/>
      <c r="I18" s="91"/>
      <c r="J18" s="89">
        <v>1</v>
      </c>
      <c r="K18" s="92"/>
      <c r="L18" s="97"/>
      <c r="M18" s="97"/>
      <c r="N18" s="92"/>
      <c r="O18" s="92"/>
    </row>
    <row r="19" spans="1:15" ht="52.8" x14ac:dyDescent="0.3">
      <c r="A19" s="98">
        <v>45607</v>
      </c>
      <c r="B19" s="99" t="s">
        <v>539</v>
      </c>
      <c r="C19" s="98" t="s">
        <v>534</v>
      </c>
      <c r="D19" s="103" t="s">
        <v>195</v>
      </c>
      <c r="E19" s="103" t="s">
        <v>249</v>
      </c>
      <c r="F19" s="100" t="s">
        <v>193</v>
      </c>
      <c r="G19" s="101" t="s">
        <v>497</v>
      </c>
      <c r="H19" s="89"/>
      <c r="I19" s="91"/>
      <c r="J19" s="89"/>
      <c r="K19" s="92"/>
      <c r="L19" s="97"/>
      <c r="M19" s="97"/>
      <c r="N19" s="92"/>
      <c r="O19" s="92"/>
    </row>
    <row r="20" spans="1:15" ht="52.8" x14ac:dyDescent="0.3">
      <c r="A20" s="98">
        <v>45607</v>
      </c>
      <c r="B20" s="99" t="s">
        <v>540</v>
      </c>
      <c r="C20" s="98" t="s">
        <v>528</v>
      </c>
      <c r="D20" s="103" t="s">
        <v>195</v>
      </c>
      <c r="E20" s="103" t="s">
        <v>249</v>
      </c>
      <c r="F20" s="100" t="s">
        <v>193</v>
      </c>
      <c r="G20" s="101" t="s">
        <v>497</v>
      </c>
      <c r="H20" s="89"/>
      <c r="I20" s="91"/>
      <c r="J20" s="89"/>
      <c r="K20" s="92"/>
      <c r="L20" s="97"/>
      <c r="M20" s="97"/>
      <c r="N20" s="92"/>
      <c r="O20" s="92"/>
    </row>
    <row r="21" spans="1:15" ht="41.4" x14ac:dyDescent="0.3">
      <c r="A21" s="98">
        <v>45607</v>
      </c>
      <c r="B21" s="99" t="s">
        <v>541</v>
      </c>
      <c r="C21" s="98" t="s">
        <v>542</v>
      </c>
      <c r="D21" s="103" t="s">
        <v>195</v>
      </c>
      <c r="E21" s="103" t="s">
        <v>249</v>
      </c>
      <c r="F21" s="100" t="s">
        <v>193</v>
      </c>
      <c r="G21" s="101" t="s">
        <v>497</v>
      </c>
      <c r="H21" s="89"/>
      <c r="I21" s="91"/>
      <c r="J21" s="89"/>
      <c r="K21" s="92"/>
      <c r="L21" s="97"/>
      <c r="M21" s="97"/>
      <c r="N21" s="92"/>
      <c r="O21" s="92"/>
    </row>
    <row r="22" spans="1:15" ht="41.4" x14ac:dyDescent="0.3">
      <c r="A22" s="98">
        <v>45607</v>
      </c>
      <c r="B22" s="99" t="s">
        <v>543</v>
      </c>
      <c r="C22" s="98" t="s">
        <v>568</v>
      </c>
      <c r="D22" s="103" t="s">
        <v>195</v>
      </c>
      <c r="E22" s="103" t="s">
        <v>249</v>
      </c>
      <c r="F22" s="100" t="s">
        <v>193</v>
      </c>
      <c r="G22" s="101" t="s">
        <v>497</v>
      </c>
      <c r="H22" s="89"/>
      <c r="I22" s="91"/>
      <c r="J22" s="89"/>
      <c r="K22" s="92"/>
      <c r="L22" s="97"/>
      <c r="M22" s="97"/>
      <c r="N22" s="92"/>
      <c r="O22" s="92"/>
    </row>
    <row r="23" spans="1:15" ht="41.4" x14ac:dyDescent="0.3">
      <c r="A23" s="98">
        <v>45607</v>
      </c>
      <c r="B23" s="99" t="s">
        <v>544</v>
      </c>
      <c r="C23" s="98" t="s">
        <v>569</v>
      </c>
      <c r="D23" s="103" t="s">
        <v>195</v>
      </c>
      <c r="E23" s="103" t="s">
        <v>249</v>
      </c>
      <c r="F23" s="100" t="s">
        <v>193</v>
      </c>
      <c r="G23" s="101" t="s">
        <v>497</v>
      </c>
      <c r="H23" s="89"/>
      <c r="I23" s="91"/>
      <c r="J23" s="89"/>
      <c r="K23" s="92"/>
      <c r="L23" s="97"/>
      <c r="M23" s="97"/>
      <c r="N23" s="92"/>
      <c r="O23" s="92"/>
    </row>
    <row r="24" spans="1:15" ht="41.4" x14ac:dyDescent="0.3">
      <c r="A24" s="98">
        <v>45607</v>
      </c>
      <c r="B24" s="99" t="s">
        <v>545</v>
      </c>
      <c r="C24" s="98" t="s">
        <v>570</v>
      </c>
      <c r="D24" s="103" t="s">
        <v>195</v>
      </c>
      <c r="E24" s="103" t="s">
        <v>249</v>
      </c>
      <c r="F24" s="100" t="s">
        <v>193</v>
      </c>
      <c r="G24" s="101" t="s">
        <v>497</v>
      </c>
      <c r="H24" s="89"/>
      <c r="I24" s="91"/>
      <c r="J24" s="89"/>
      <c r="K24" s="92"/>
      <c r="L24" s="97"/>
      <c r="M24" s="97"/>
      <c r="N24" s="92"/>
      <c r="O24" s="92"/>
    </row>
    <row r="25" spans="1:15" ht="41.4" x14ac:dyDescent="0.3">
      <c r="A25" s="98">
        <v>45607</v>
      </c>
      <c r="B25" s="99" t="s">
        <v>546</v>
      </c>
      <c r="C25" s="98" t="s">
        <v>571</v>
      </c>
      <c r="D25" s="103" t="s">
        <v>195</v>
      </c>
      <c r="E25" s="103" t="s">
        <v>249</v>
      </c>
      <c r="F25" s="100" t="s">
        <v>193</v>
      </c>
      <c r="G25" s="101" t="s">
        <v>497</v>
      </c>
      <c r="H25" s="89"/>
      <c r="I25" s="91"/>
      <c r="J25" s="89"/>
      <c r="K25" s="92"/>
      <c r="L25" s="97"/>
      <c r="M25" s="97"/>
      <c r="N25" s="92"/>
      <c r="O25" s="92"/>
    </row>
    <row r="26" spans="1:15" ht="52.8" x14ac:dyDescent="0.3">
      <c r="A26" s="98">
        <v>45607</v>
      </c>
      <c r="B26" s="99" t="s">
        <v>547</v>
      </c>
      <c r="C26" s="98" t="s">
        <v>548</v>
      </c>
      <c r="D26" s="103" t="s">
        <v>195</v>
      </c>
      <c r="E26" s="103" t="s">
        <v>249</v>
      </c>
      <c r="F26" s="100" t="s">
        <v>193</v>
      </c>
      <c r="G26" s="101" t="s">
        <v>497</v>
      </c>
      <c r="H26" s="89"/>
      <c r="I26" s="91"/>
      <c r="J26" s="89"/>
      <c r="K26" s="92"/>
      <c r="L26" s="97"/>
      <c r="M26" s="97"/>
      <c r="N26" s="92"/>
      <c r="O26" s="92"/>
    </row>
    <row r="27" spans="1:15" ht="52.8" x14ac:dyDescent="0.3">
      <c r="A27" s="98">
        <v>45607</v>
      </c>
      <c r="B27" s="99" t="s">
        <v>549</v>
      </c>
      <c r="C27" s="98" t="s">
        <v>548</v>
      </c>
      <c r="D27" s="103" t="s">
        <v>195</v>
      </c>
      <c r="E27" s="103" t="s">
        <v>249</v>
      </c>
      <c r="F27" s="100" t="s">
        <v>193</v>
      </c>
      <c r="G27" s="101" t="s">
        <v>497</v>
      </c>
      <c r="H27" s="89"/>
      <c r="I27" s="91"/>
      <c r="J27" s="89"/>
      <c r="K27" s="92"/>
      <c r="L27" s="97"/>
      <c r="M27" s="97"/>
      <c r="N27" s="92"/>
      <c r="O27" s="92"/>
    </row>
    <row r="28" spans="1:15" ht="52.8" x14ac:dyDescent="0.3">
      <c r="A28" s="98">
        <v>45607</v>
      </c>
      <c r="B28" s="99" t="s">
        <v>550</v>
      </c>
      <c r="C28" s="98" t="s">
        <v>551</v>
      </c>
      <c r="D28" s="103" t="s">
        <v>195</v>
      </c>
      <c r="E28" s="103" t="s">
        <v>249</v>
      </c>
      <c r="F28" s="100" t="s">
        <v>193</v>
      </c>
      <c r="G28" s="101" t="s">
        <v>497</v>
      </c>
      <c r="H28" s="89"/>
      <c r="I28" s="91"/>
      <c r="J28" s="89"/>
      <c r="K28" s="92"/>
      <c r="L28" s="97"/>
      <c r="M28" s="97"/>
      <c r="N28" s="92"/>
      <c r="O28" s="92"/>
    </row>
    <row r="29" spans="1:15" ht="52.8" x14ac:dyDescent="0.3">
      <c r="A29" s="98">
        <v>45607</v>
      </c>
      <c r="B29" s="99" t="s">
        <v>552</v>
      </c>
      <c r="C29" s="98" t="s">
        <v>553</v>
      </c>
      <c r="D29" s="103" t="s">
        <v>195</v>
      </c>
      <c r="E29" s="103" t="s">
        <v>249</v>
      </c>
      <c r="F29" s="100" t="s">
        <v>193</v>
      </c>
      <c r="G29" s="101" t="s">
        <v>497</v>
      </c>
      <c r="H29" s="89"/>
      <c r="I29" s="91"/>
      <c r="J29" s="89"/>
      <c r="K29" s="92"/>
      <c r="L29" s="97"/>
      <c r="M29" s="97"/>
      <c r="N29" s="92"/>
      <c r="O29" s="92"/>
    </row>
    <row r="30" spans="1:15" ht="41.4" x14ac:dyDescent="0.3">
      <c r="A30" s="98">
        <v>45607</v>
      </c>
      <c r="B30" s="99" t="s">
        <v>554</v>
      </c>
      <c r="C30" s="98" t="s">
        <v>570</v>
      </c>
      <c r="D30" s="103" t="s">
        <v>195</v>
      </c>
      <c r="E30" s="103" t="s">
        <v>249</v>
      </c>
      <c r="F30" s="100" t="s">
        <v>193</v>
      </c>
      <c r="G30" s="101" t="s">
        <v>497</v>
      </c>
      <c r="H30" s="89"/>
      <c r="I30" s="91"/>
      <c r="J30" s="89"/>
      <c r="K30" s="92"/>
      <c r="L30" s="97"/>
      <c r="M30" s="97"/>
      <c r="N30" s="92"/>
      <c r="O30" s="92"/>
    </row>
    <row r="31" spans="1:15" ht="39.6" x14ac:dyDescent="0.3">
      <c r="A31" s="98">
        <v>45608</v>
      </c>
      <c r="B31" s="99" t="s">
        <v>555</v>
      </c>
      <c r="C31" s="98" t="s">
        <v>142</v>
      </c>
      <c r="D31" s="103" t="s">
        <v>206</v>
      </c>
      <c r="E31" s="103" t="s">
        <v>522</v>
      </c>
      <c r="F31" s="100" t="s">
        <v>193</v>
      </c>
      <c r="G31" s="101" t="s">
        <v>497</v>
      </c>
      <c r="H31" s="89"/>
      <c r="I31" s="91"/>
      <c r="J31" s="89"/>
      <c r="K31" s="92"/>
      <c r="L31" s="97"/>
      <c r="M31" s="97"/>
      <c r="N31" s="92"/>
      <c r="O31" s="92"/>
    </row>
    <row r="32" spans="1:15" ht="39.6" x14ac:dyDescent="0.3">
      <c r="A32" s="98">
        <v>45608</v>
      </c>
      <c r="B32" s="99" t="s">
        <v>556</v>
      </c>
      <c r="C32" s="98" t="s">
        <v>142</v>
      </c>
      <c r="D32" s="103" t="s">
        <v>206</v>
      </c>
      <c r="E32" s="103" t="s">
        <v>522</v>
      </c>
      <c r="F32" s="100" t="s">
        <v>193</v>
      </c>
      <c r="G32" s="101" t="s">
        <v>497</v>
      </c>
      <c r="H32" s="89"/>
      <c r="I32" s="91"/>
      <c r="J32" s="89"/>
      <c r="K32" s="92"/>
      <c r="L32" s="97"/>
      <c r="M32" s="97"/>
      <c r="N32" s="92"/>
      <c r="O32" s="92"/>
    </row>
    <row r="33" spans="1:15" ht="39.6" x14ac:dyDescent="0.3">
      <c r="A33" s="98">
        <v>45608</v>
      </c>
      <c r="B33" s="99" t="s">
        <v>557</v>
      </c>
      <c r="C33" s="98" t="s">
        <v>272</v>
      </c>
      <c r="D33" s="103" t="s">
        <v>206</v>
      </c>
      <c r="E33" s="103" t="s">
        <v>522</v>
      </c>
      <c r="F33" s="100" t="s">
        <v>193</v>
      </c>
      <c r="G33" s="101" t="s">
        <v>497</v>
      </c>
      <c r="H33" s="89"/>
      <c r="I33" s="91"/>
      <c r="J33" s="89"/>
      <c r="K33" s="92"/>
      <c r="L33" s="97"/>
      <c r="M33" s="97"/>
      <c r="N33" s="92"/>
      <c r="O33" s="92"/>
    </row>
    <row r="34" spans="1:15" ht="39.6" x14ac:dyDescent="0.3">
      <c r="A34" s="98">
        <v>45608</v>
      </c>
      <c r="B34" s="99" t="s">
        <v>558</v>
      </c>
      <c r="C34" s="98" t="s">
        <v>159</v>
      </c>
      <c r="D34" s="103" t="s">
        <v>206</v>
      </c>
      <c r="E34" s="103" t="s">
        <v>522</v>
      </c>
      <c r="F34" s="100" t="s">
        <v>193</v>
      </c>
      <c r="G34" s="101" t="s">
        <v>497</v>
      </c>
      <c r="H34" s="89"/>
      <c r="I34" s="91"/>
      <c r="J34" s="89"/>
      <c r="K34" s="92"/>
      <c r="L34" s="97"/>
      <c r="M34" s="97"/>
      <c r="N34" s="92"/>
      <c r="O34" s="92"/>
    </row>
    <row r="35" spans="1:15" ht="41.4" x14ac:dyDescent="0.3">
      <c r="A35" s="98">
        <v>45608</v>
      </c>
      <c r="B35" s="99" t="s">
        <v>541</v>
      </c>
      <c r="C35" s="98" t="s">
        <v>142</v>
      </c>
      <c r="D35" s="103" t="s">
        <v>195</v>
      </c>
      <c r="E35" s="103" t="s">
        <v>521</v>
      </c>
      <c r="F35" s="100" t="s">
        <v>193</v>
      </c>
      <c r="G35" s="101" t="s">
        <v>497</v>
      </c>
      <c r="H35" s="89"/>
      <c r="I35" s="91"/>
      <c r="J35" s="89"/>
      <c r="K35" s="92"/>
      <c r="L35" s="97"/>
      <c r="M35" s="97"/>
      <c r="N35" s="92"/>
      <c r="O35" s="92"/>
    </row>
    <row r="36" spans="1:15" ht="52.8" x14ac:dyDescent="0.3">
      <c r="A36" s="98">
        <v>45608</v>
      </c>
      <c r="B36" s="99" t="s">
        <v>559</v>
      </c>
      <c r="C36" s="98" t="s">
        <v>200</v>
      </c>
      <c r="D36" s="103" t="s">
        <v>206</v>
      </c>
      <c r="E36" s="103" t="s">
        <v>522</v>
      </c>
      <c r="F36" s="100" t="s">
        <v>193</v>
      </c>
      <c r="G36" s="101" t="s">
        <v>497</v>
      </c>
      <c r="H36" s="89"/>
      <c r="I36" s="91"/>
      <c r="J36" s="89"/>
      <c r="K36" s="92"/>
      <c r="L36" s="97"/>
      <c r="M36" s="97"/>
      <c r="N36" s="92"/>
      <c r="O36" s="92"/>
    </row>
    <row r="37" spans="1:15" ht="52.8" x14ac:dyDescent="0.3">
      <c r="A37" s="98">
        <v>45608</v>
      </c>
      <c r="B37" s="99" t="s">
        <v>560</v>
      </c>
      <c r="C37" s="98" t="s">
        <v>561</v>
      </c>
      <c r="D37" s="103" t="s">
        <v>206</v>
      </c>
      <c r="E37" s="103" t="s">
        <v>522</v>
      </c>
      <c r="F37" s="100" t="s">
        <v>193</v>
      </c>
      <c r="G37" s="101" t="s">
        <v>497</v>
      </c>
      <c r="H37" s="89"/>
      <c r="I37" s="91"/>
      <c r="J37" s="89"/>
      <c r="K37" s="92"/>
      <c r="L37" s="97"/>
      <c r="M37" s="97"/>
      <c r="N37" s="92"/>
      <c r="O37" s="92"/>
    </row>
    <row r="38" spans="1:15" ht="52.8" x14ac:dyDescent="0.3">
      <c r="A38" s="98">
        <v>45608</v>
      </c>
      <c r="B38" s="99" t="s">
        <v>562</v>
      </c>
      <c r="C38" s="98" t="s">
        <v>563</v>
      </c>
      <c r="D38" s="103" t="s">
        <v>206</v>
      </c>
      <c r="E38" s="103" t="s">
        <v>522</v>
      </c>
      <c r="F38" s="100" t="s">
        <v>193</v>
      </c>
      <c r="G38" s="101" t="s">
        <v>497</v>
      </c>
      <c r="H38" s="89"/>
      <c r="I38" s="91"/>
      <c r="J38" s="89"/>
      <c r="K38" s="92"/>
      <c r="L38" s="97"/>
      <c r="M38" s="97"/>
      <c r="N38" s="92"/>
      <c r="O38" s="92"/>
    </row>
    <row r="39" spans="1:15" ht="55.2" x14ac:dyDescent="0.3">
      <c r="A39" s="98">
        <v>45608</v>
      </c>
      <c r="B39" s="99" t="s">
        <v>564</v>
      </c>
      <c r="C39" s="98" t="s">
        <v>572</v>
      </c>
      <c r="D39" s="100" t="s">
        <v>244</v>
      </c>
      <c r="E39" s="100" t="s">
        <v>509</v>
      </c>
      <c r="F39" s="100" t="s">
        <v>193</v>
      </c>
      <c r="G39" s="101" t="s">
        <v>497</v>
      </c>
      <c r="H39" s="89"/>
      <c r="I39" s="91"/>
      <c r="J39" s="89"/>
      <c r="K39" s="92"/>
      <c r="L39" s="97"/>
      <c r="M39" s="97"/>
      <c r="N39" s="92"/>
      <c r="O39" s="92"/>
    </row>
    <row r="40" spans="1:15" ht="69" x14ac:dyDescent="0.3">
      <c r="A40" s="98">
        <v>45608</v>
      </c>
      <c r="B40" s="99" t="s">
        <v>565</v>
      </c>
      <c r="C40" s="98" t="s">
        <v>572</v>
      </c>
      <c r="D40" s="100" t="s">
        <v>244</v>
      </c>
      <c r="E40" s="100" t="s">
        <v>509</v>
      </c>
      <c r="F40" s="100" t="s">
        <v>193</v>
      </c>
      <c r="G40" s="101" t="s">
        <v>497</v>
      </c>
      <c r="H40" s="89"/>
      <c r="I40" s="91"/>
      <c r="J40" s="89"/>
      <c r="K40" s="92"/>
      <c r="L40" s="97"/>
      <c r="M40" s="97"/>
      <c r="N40" s="92"/>
      <c r="O40" s="92"/>
    </row>
    <row r="41" spans="1:15" ht="52.8" x14ac:dyDescent="0.3">
      <c r="A41" s="98">
        <v>45608</v>
      </c>
      <c r="B41" s="99" t="s">
        <v>566</v>
      </c>
      <c r="C41" s="98" t="s">
        <v>567</v>
      </c>
      <c r="D41" s="103" t="s">
        <v>206</v>
      </c>
      <c r="E41" s="103" t="s">
        <v>522</v>
      </c>
      <c r="F41" s="100" t="s">
        <v>193</v>
      </c>
      <c r="G41" s="101" t="s">
        <v>497</v>
      </c>
      <c r="H41" s="89"/>
      <c r="I41" s="91"/>
      <c r="J41" s="89"/>
      <c r="K41" s="92"/>
      <c r="L41" s="97"/>
      <c r="M41" s="97"/>
      <c r="N41" s="92"/>
      <c r="O41" s="92"/>
    </row>
    <row r="42" spans="1:15" x14ac:dyDescent="0.3">
      <c r="A42" s="98"/>
      <c r="B42" s="102"/>
      <c r="C42" s="89"/>
      <c r="D42" s="103"/>
      <c r="E42" s="103"/>
      <c r="F42" s="100"/>
      <c r="G42" s="101"/>
      <c r="H42" s="89"/>
      <c r="I42" s="91"/>
      <c r="J42" s="89"/>
      <c r="K42" s="92"/>
      <c r="L42" s="97"/>
      <c r="M42" s="97"/>
      <c r="N42" s="92"/>
      <c r="O42" s="92"/>
    </row>
    <row r="43" spans="1:15" x14ac:dyDescent="0.3">
      <c r="A43" s="98"/>
      <c r="B43" s="102"/>
      <c r="C43" s="89"/>
      <c r="D43" s="103"/>
      <c r="E43" s="103"/>
      <c r="F43" s="100"/>
      <c r="G43" s="101"/>
      <c r="H43" s="89"/>
      <c r="I43" s="91"/>
      <c r="J43" s="89"/>
      <c r="K43" s="92"/>
      <c r="L43" s="97"/>
      <c r="M43" s="97"/>
      <c r="N43" s="92"/>
      <c r="O43" s="92"/>
    </row>
    <row r="44" spans="1:15" x14ac:dyDescent="0.3">
      <c r="A44" s="98"/>
      <c r="B44" s="102"/>
      <c r="C44" s="89"/>
      <c r="D44" s="103"/>
      <c r="E44" s="103"/>
      <c r="F44" s="100"/>
      <c r="G44" s="101"/>
      <c r="H44" s="89"/>
      <c r="I44" s="91"/>
      <c r="J44" s="89"/>
      <c r="K44" s="92"/>
      <c r="L44" s="97"/>
      <c r="M44" s="97"/>
      <c r="N44" s="92"/>
      <c r="O44" s="92"/>
    </row>
    <row r="45" spans="1:15" x14ac:dyDescent="0.3">
      <c r="A45" s="98"/>
      <c r="B45" s="102"/>
      <c r="C45" s="89"/>
      <c r="D45" s="103"/>
      <c r="E45" s="103"/>
      <c r="F45" s="100"/>
      <c r="G45" s="101"/>
      <c r="H45" s="89"/>
      <c r="I45" s="91"/>
      <c r="J45" s="89"/>
      <c r="K45" s="92"/>
      <c r="L45" s="97"/>
      <c r="M45" s="97"/>
      <c r="N45" s="92"/>
      <c r="O45" s="92"/>
    </row>
    <row r="46" spans="1:15" x14ac:dyDescent="0.3">
      <c r="A46" s="98"/>
      <c r="B46" s="102"/>
      <c r="C46" s="89"/>
      <c r="D46" s="103"/>
      <c r="E46" s="103"/>
      <c r="F46" s="100"/>
      <c r="G46" s="101"/>
      <c r="H46" s="89"/>
      <c r="I46" s="91"/>
      <c r="J46" s="89"/>
      <c r="K46" s="92"/>
      <c r="L46" s="97"/>
      <c r="M46" s="97"/>
      <c r="N46" s="92"/>
      <c r="O46" s="92"/>
    </row>
    <row r="47" spans="1:15" x14ac:dyDescent="0.3">
      <c r="A47" s="98"/>
      <c r="B47" s="102"/>
      <c r="C47" s="89"/>
      <c r="D47" s="103"/>
      <c r="E47" s="103"/>
      <c r="F47" s="100"/>
      <c r="G47" s="101"/>
      <c r="H47" s="89"/>
      <c r="I47" s="91"/>
      <c r="J47" s="89"/>
      <c r="K47" s="92"/>
      <c r="L47" s="97"/>
      <c r="M47" s="97"/>
      <c r="N47" s="92"/>
      <c r="O47" s="92"/>
    </row>
    <row r="48" spans="1:15" x14ac:dyDescent="0.3">
      <c r="A48" s="98"/>
      <c r="B48" s="102"/>
      <c r="C48" s="89"/>
      <c r="D48" s="103"/>
      <c r="E48" s="103"/>
      <c r="F48" s="100"/>
      <c r="G48" s="101"/>
      <c r="H48" s="89"/>
      <c r="I48" s="91"/>
      <c r="J48" s="89"/>
      <c r="K48" s="92"/>
      <c r="L48" s="97"/>
      <c r="M48" s="97"/>
      <c r="N48" s="92"/>
      <c r="O48" s="92"/>
    </row>
    <row r="49" spans="1:15" x14ac:dyDescent="0.3">
      <c r="A49" s="98"/>
      <c r="B49" s="102"/>
      <c r="C49" s="89"/>
      <c r="D49" s="103"/>
      <c r="E49" s="103"/>
      <c r="F49" s="100"/>
      <c r="G49" s="101"/>
      <c r="H49" s="89"/>
      <c r="I49" s="91"/>
      <c r="J49" s="89"/>
      <c r="K49" s="92"/>
      <c r="L49" s="97"/>
      <c r="M49" s="97"/>
      <c r="N49" s="92"/>
      <c r="O49" s="92"/>
    </row>
    <row r="50" spans="1:15" x14ac:dyDescent="0.3">
      <c r="A50" s="98"/>
      <c r="B50" s="102"/>
      <c r="C50" s="89"/>
      <c r="D50" s="103"/>
      <c r="E50" s="103"/>
      <c r="F50" s="100"/>
      <c r="G50" s="101"/>
      <c r="H50" s="89"/>
      <c r="I50" s="91"/>
      <c r="J50" s="89"/>
      <c r="K50" s="92"/>
      <c r="L50" s="97"/>
      <c r="M50" s="97"/>
      <c r="N50" s="92"/>
      <c r="O50" s="92"/>
    </row>
    <row r="51" spans="1:15" x14ac:dyDescent="0.3">
      <c r="A51" s="98"/>
      <c r="B51" s="102"/>
      <c r="C51" s="89"/>
      <c r="D51" s="103"/>
      <c r="E51" s="103"/>
      <c r="F51" s="100"/>
      <c r="G51" s="101"/>
      <c r="H51" s="89"/>
      <c r="I51" s="91"/>
      <c r="J51" s="89"/>
      <c r="K51" s="92"/>
      <c r="L51" s="97"/>
      <c r="M51" s="97"/>
      <c r="N51" s="92"/>
      <c r="O51" s="92"/>
    </row>
    <row r="52" spans="1:15" x14ac:dyDescent="0.3">
      <c r="A52" s="98"/>
      <c r="B52" s="102"/>
      <c r="C52" s="89"/>
      <c r="D52" s="103"/>
      <c r="E52" s="103"/>
      <c r="F52" s="100"/>
      <c r="G52" s="101"/>
      <c r="H52" s="89"/>
      <c r="I52" s="91"/>
      <c r="J52" s="89"/>
      <c r="K52" s="92"/>
      <c r="L52" s="97"/>
      <c r="M52" s="97"/>
      <c r="N52" s="92"/>
      <c r="O52" s="92"/>
    </row>
    <row r="53" spans="1:15" x14ac:dyDescent="0.3">
      <c r="A53" s="98"/>
      <c r="B53" s="102"/>
      <c r="C53" s="89"/>
      <c r="D53" s="103"/>
      <c r="E53" s="103"/>
      <c r="F53" s="100"/>
      <c r="G53" s="101"/>
      <c r="H53" s="89"/>
      <c r="I53" s="91"/>
      <c r="J53" s="89"/>
      <c r="K53" s="92"/>
      <c r="L53" s="97"/>
      <c r="M53" s="97"/>
      <c r="N53" s="92"/>
      <c r="O53" s="92"/>
    </row>
    <row r="54" spans="1:15" x14ac:dyDescent="0.3">
      <c r="A54" s="98"/>
      <c r="B54" s="102"/>
      <c r="C54" s="89"/>
      <c r="D54" s="103"/>
      <c r="E54" s="103"/>
      <c r="F54" s="100"/>
      <c r="G54" s="101"/>
      <c r="H54" s="89"/>
      <c r="I54" s="91"/>
      <c r="J54" s="89"/>
      <c r="K54" s="92"/>
      <c r="L54" s="97"/>
      <c r="M54" s="97"/>
      <c r="N54" s="92"/>
      <c r="O54" s="92"/>
    </row>
    <row r="55" spans="1:15" x14ac:dyDescent="0.3">
      <c r="A55" s="98"/>
      <c r="B55" s="102"/>
      <c r="C55" s="89"/>
      <c r="D55" s="103"/>
      <c r="E55" s="103"/>
      <c r="F55" s="100"/>
      <c r="G55" s="101"/>
      <c r="H55" s="89"/>
      <c r="I55" s="91"/>
      <c r="J55" s="89"/>
      <c r="K55" s="92"/>
      <c r="L55" s="97"/>
      <c r="M55" s="97"/>
      <c r="N55" s="92"/>
      <c r="O55" s="92"/>
    </row>
    <row r="56" spans="1:15" x14ac:dyDescent="0.3">
      <c r="A56" s="98"/>
      <c r="B56" s="102"/>
      <c r="C56" s="89"/>
      <c r="D56" s="103"/>
      <c r="E56" s="103"/>
      <c r="F56" s="100"/>
      <c r="G56" s="101"/>
      <c r="H56" s="89"/>
      <c r="I56" s="91"/>
      <c r="J56" s="89"/>
      <c r="K56" s="92"/>
      <c r="L56" s="97"/>
      <c r="M56" s="97"/>
      <c r="N56" s="92"/>
      <c r="O56" s="92"/>
    </row>
    <row r="57" spans="1:15" x14ac:dyDescent="0.3">
      <c r="A57" s="98"/>
      <c r="B57" s="102"/>
      <c r="C57" s="89"/>
      <c r="D57" s="103"/>
      <c r="E57" s="103"/>
      <c r="F57" s="100"/>
      <c r="G57" s="101"/>
      <c r="H57" s="89"/>
      <c r="I57" s="91"/>
      <c r="J57" s="89"/>
      <c r="K57" s="92"/>
      <c r="L57" s="97"/>
      <c r="M57" s="97"/>
      <c r="N57" s="92"/>
      <c r="O57" s="92"/>
    </row>
    <row r="58" spans="1:15" x14ac:dyDescent="0.3">
      <c r="A58" s="98"/>
      <c r="B58" s="102"/>
      <c r="C58" s="89"/>
      <c r="D58" s="103"/>
      <c r="E58" s="103"/>
      <c r="F58" s="100"/>
      <c r="G58" s="101"/>
      <c r="H58" s="89"/>
      <c r="I58" s="91"/>
      <c r="J58" s="89"/>
      <c r="K58" s="92"/>
      <c r="L58" s="97"/>
      <c r="M58" s="97"/>
      <c r="N58" s="92"/>
      <c r="O58" s="92"/>
    </row>
    <row r="59" spans="1:15" x14ac:dyDescent="0.3">
      <c r="A59" s="98"/>
      <c r="B59" s="102"/>
      <c r="C59" s="89"/>
      <c r="D59" s="103"/>
      <c r="E59" s="103"/>
      <c r="F59" s="100"/>
      <c r="G59" s="101"/>
      <c r="H59" s="89"/>
      <c r="I59" s="91"/>
      <c r="J59" s="89"/>
      <c r="K59" s="92"/>
      <c r="L59" s="97"/>
      <c r="M59" s="97"/>
      <c r="N59" s="92"/>
      <c r="O59" s="92"/>
    </row>
    <row r="60" spans="1:15" x14ac:dyDescent="0.3">
      <c r="A60" s="98"/>
      <c r="B60" s="102"/>
      <c r="C60" s="89"/>
      <c r="D60" s="103"/>
      <c r="E60" s="103"/>
      <c r="F60" s="100"/>
      <c r="G60" s="101"/>
      <c r="H60" s="89"/>
      <c r="I60" s="91"/>
      <c r="J60" s="89"/>
      <c r="K60" s="92"/>
      <c r="L60" s="97"/>
      <c r="M60" s="97"/>
      <c r="N60" s="92"/>
      <c r="O60" s="92"/>
    </row>
    <row r="61" spans="1:15" x14ac:dyDescent="0.3">
      <c r="A61" s="98"/>
      <c r="B61" s="102"/>
      <c r="C61" s="89"/>
      <c r="D61" s="103"/>
      <c r="E61" s="103"/>
      <c r="F61" s="100"/>
      <c r="G61" s="101"/>
      <c r="H61" s="89"/>
      <c r="I61" s="91"/>
      <c r="J61" s="89"/>
      <c r="K61" s="92"/>
      <c r="L61" s="97"/>
      <c r="M61" s="97"/>
      <c r="N61" s="92"/>
      <c r="O61" s="92"/>
    </row>
    <row r="62" spans="1:15" x14ac:dyDescent="0.3">
      <c r="A62" s="98"/>
      <c r="B62" s="102"/>
      <c r="C62" s="89"/>
      <c r="D62" s="103"/>
      <c r="E62" s="103"/>
      <c r="F62" s="100"/>
      <c r="G62" s="101"/>
      <c r="H62" s="89"/>
      <c r="I62" s="91"/>
      <c r="J62" s="89"/>
      <c r="K62" s="92"/>
      <c r="L62" s="97"/>
      <c r="M62" s="97"/>
      <c r="N62" s="92"/>
      <c r="O62" s="92"/>
    </row>
    <row r="63" spans="1:15" x14ac:dyDescent="0.3">
      <c r="A63" s="98"/>
      <c r="B63" s="102"/>
      <c r="C63" s="89"/>
      <c r="D63" s="103"/>
      <c r="E63" s="103"/>
      <c r="F63" s="100"/>
      <c r="G63" s="101"/>
      <c r="H63" s="89"/>
      <c r="I63" s="91"/>
      <c r="J63" s="89"/>
      <c r="K63" s="92"/>
      <c r="L63" s="97"/>
      <c r="M63" s="97"/>
      <c r="N63" s="92"/>
      <c r="O63" s="92"/>
    </row>
    <row r="64" spans="1:15" x14ac:dyDescent="0.3">
      <c r="A64" s="98"/>
      <c r="B64" s="102"/>
      <c r="C64" s="89"/>
      <c r="D64" s="103"/>
      <c r="E64" s="103"/>
      <c r="F64" s="100"/>
      <c r="G64" s="101"/>
      <c r="H64" s="89"/>
      <c r="I64" s="91"/>
      <c r="J64" s="89"/>
      <c r="K64" s="92"/>
      <c r="L64" s="97"/>
      <c r="M64" s="97"/>
      <c r="N64" s="92"/>
      <c r="O64" s="92"/>
    </row>
    <row r="65" spans="1:20" x14ac:dyDescent="0.3">
      <c r="A65" s="98"/>
      <c r="B65" s="102"/>
      <c r="C65" s="89"/>
      <c r="D65" s="103"/>
      <c r="E65" s="103"/>
      <c r="F65" s="100"/>
      <c r="G65" s="101"/>
      <c r="H65" s="89"/>
      <c r="I65" s="91"/>
      <c r="J65" s="89"/>
      <c r="K65" s="92"/>
      <c r="L65" s="97"/>
      <c r="M65" s="97"/>
      <c r="N65" s="92"/>
      <c r="O65" s="92"/>
    </row>
    <row r="66" spans="1:20" x14ac:dyDescent="0.3">
      <c r="A66" s="98"/>
      <c r="B66" s="102"/>
      <c r="C66" s="89"/>
      <c r="D66" s="103"/>
      <c r="E66" s="103"/>
      <c r="F66" s="100"/>
      <c r="G66" s="101"/>
      <c r="H66" s="89"/>
      <c r="I66" s="91"/>
      <c r="J66" s="89"/>
      <c r="K66" s="92"/>
      <c r="L66" s="97"/>
      <c r="M66" s="97"/>
      <c r="N66" s="92"/>
      <c r="O66" s="92"/>
    </row>
    <row r="67" spans="1:20" x14ac:dyDescent="0.3">
      <c r="A67" s="98"/>
      <c r="B67" s="102"/>
      <c r="C67" s="89"/>
      <c r="D67" s="103"/>
      <c r="E67" s="103"/>
      <c r="F67" s="100"/>
      <c r="G67" s="101"/>
      <c r="H67" s="89"/>
      <c r="I67" s="91"/>
      <c r="J67" s="89"/>
      <c r="K67" s="92"/>
      <c r="L67" s="97"/>
      <c r="M67" s="97"/>
      <c r="N67" s="92"/>
      <c r="O67" s="92"/>
    </row>
    <row r="68" spans="1:20" x14ac:dyDescent="0.3">
      <c r="A68" s="98"/>
      <c r="B68" s="102"/>
      <c r="C68" s="89"/>
      <c r="D68" s="103"/>
      <c r="E68" s="103"/>
      <c r="F68" s="100"/>
      <c r="G68" s="101"/>
      <c r="H68" s="89"/>
      <c r="I68" s="91"/>
      <c r="J68" s="89"/>
      <c r="K68" s="92"/>
      <c r="L68" s="97"/>
      <c r="M68" s="97"/>
      <c r="N68" s="92"/>
      <c r="O68" s="92"/>
    </row>
    <row r="69" spans="1:20" x14ac:dyDescent="0.3">
      <c r="A69" s="98"/>
      <c r="B69" s="102"/>
      <c r="C69" s="89"/>
      <c r="D69" s="103"/>
      <c r="E69" s="103"/>
      <c r="F69" s="100"/>
      <c r="G69" s="101"/>
      <c r="H69" s="89"/>
      <c r="I69" s="91"/>
      <c r="J69" s="89"/>
      <c r="K69" s="92"/>
      <c r="L69" s="97"/>
      <c r="M69" s="97"/>
      <c r="N69" s="92"/>
      <c r="O69" s="92"/>
    </row>
    <row r="70" spans="1:20" x14ac:dyDescent="0.3">
      <c r="A70" s="98"/>
      <c r="B70" s="102"/>
      <c r="C70" s="89"/>
      <c r="D70" s="103"/>
      <c r="E70" s="103"/>
      <c r="F70" s="100"/>
      <c r="G70" s="101"/>
      <c r="H70" s="89"/>
      <c r="I70" s="91"/>
      <c r="J70" s="89"/>
      <c r="K70" s="92"/>
      <c r="L70" s="97"/>
      <c r="M70" s="97"/>
      <c r="N70" s="92"/>
      <c r="O70" s="92"/>
    </row>
    <row r="71" spans="1:20" x14ac:dyDescent="0.3">
      <c r="A71" s="98"/>
      <c r="B71" s="102"/>
      <c r="C71" s="89"/>
      <c r="D71" s="103"/>
      <c r="E71" s="103"/>
      <c r="F71" s="100"/>
      <c r="G71" s="101"/>
      <c r="H71" s="89"/>
      <c r="I71" s="91"/>
      <c r="J71" s="89"/>
      <c r="K71" s="92"/>
      <c r="L71" s="97"/>
      <c r="M71" s="97"/>
      <c r="N71" s="92"/>
      <c r="O71" s="92"/>
    </row>
    <row r="72" spans="1:20" x14ac:dyDescent="0.3">
      <c r="A72" s="98"/>
      <c r="B72" s="102"/>
      <c r="C72" s="89"/>
      <c r="D72" s="103"/>
      <c r="E72" s="103"/>
      <c r="F72" s="100"/>
      <c r="G72" s="101"/>
      <c r="H72" s="89"/>
      <c r="I72" s="91"/>
      <c r="J72" s="89"/>
      <c r="K72" s="92"/>
      <c r="L72" s="97"/>
      <c r="M72" s="97"/>
      <c r="N72" s="92"/>
      <c r="O72" s="92"/>
    </row>
    <row r="73" spans="1:20" x14ac:dyDescent="0.3">
      <c r="A73" s="98"/>
      <c r="B73" s="102"/>
      <c r="C73" s="89"/>
      <c r="D73" s="103"/>
      <c r="E73" s="103"/>
      <c r="F73" s="100"/>
      <c r="G73" s="101"/>
      <c r="H73" s="89"/>
      <c r="I73" s="91"/>
      <c r="J73" s="91"/>
      <c r="K73" s="92"/>
      <c r="L73" s="97"/>
      <c r="M73" s="97"/>
      <c r="N73" s="92"/>
      <c r="O73" s="92"/>
    </row>
    <row r="74" spans="1:20" ht="47.25" customHeight="1" x14ac:dyDescent="0.3">
      <c r="A74" s="98">
        <v>45407</v>
      </c>
      <c r="B74" s="99" t="s">
        <v>267</v>
      </c>
      <c r="C74" s="89" t="s">
        <v>268</v>
      </c>
      <c r="D74" s="103" t="s">
        <v>269</v>
      </c>
      <c r="E74" s="103" t="s">
        <v>270</v>
      </c>
      <c r="F74" s="100" t="s">
        <v>193</v>
      </c>
      <c r="G74" s="101" t="s">
        <v>194</v>
      </c>
      <c r="H74" s="89"/>
      <c r="I74" s="91"/>
      <c r="J74" s="91"/>
      <c r="K74" s="92"/>
      <c r="L74" s="97"/>
      <c r="M74" s="97"/>
      <c r="N74" s="92"/>
      <c r="O74" s="92"/>
    </row>
    <row r="75" spans="1:20" ht="79.5" customHeight="1" x14ac:dyDescent="0.3">
      <c r="A75" s="98">
        <v>45426</v>
      </c>
      <c r="B75" s="99" t="s">
        <v>151</v>
      </c>
      <c r="C75" s="89" t="s">
        <v>170</v>
      </c>
      <c r="D75" s="103" t="s">
        <v>152</v>
      </c>
      <c r="E75" s="103" t="s">
        <v>153</v>
      </c>
      <c r="F75" s="100" t="s">
        <v>193</v>
      </c>
      <c r="G75" s="101" t="s">
        <v>194</v>
      </c>
      <c r="H75" s="89"/>
      <c r="I75" s="91"/>
      <c r="J75" s="91"/>
      <c r="K75" s="92"/>
      <c r="L75" s="97"/>
      <c r="M75" s="97"/>
      <c r="N75" s="92"/>
      <c r="O75" s="92"/>
    </row>
    <row r="76" spans="1:20" ht="90.75" customHeight="1" x14ac:dyDescent="0.3">
      <c r="A76" s="98">
        <v>45432</v>
      </c>
      <c r="B76" s="99" t="s">
        <v>143</v>
      </c>
      <c r="C76" s="89" t="s">
        <v>144</v>
      </c>
      <c r="D76" s="103" t="s">
        <v>145</v>
      </c>
      <c r="E76" s="103" t="s">
        <v>146</v>
      </c>
      <c r="F76" s="100" t="s">
        <v>193</v>
      </c>
      <c r="G76" s="101" t="s">
        <v>194</v>
      </c>
      <c r="H76" s="89"/>
      <c r="I76" s="91"/>
      <c r="J76" s="91"/>
      <c r="K76" s="92"/>
      <c r="L76" s="102"/>
      <c r="M76" s="104"/>
      <c r="N76" s="104"/>
      <c r="O76" s="92"/>
      <c r="R76" s="105"/>
      <c r="S76" s="106"/>
      <c r="T76" s="106"/>
    </row>
    <row r="77" spans="1:20" ht="82.8" x14ac:dyDescent="0.3">
      <c r="A77" s="98">
        <v>45432</v>
      </c>
      <c r="B77" s="99" t="s">
        <v>147</v>
      </c>
      <c r="C77" s="89" t="s">
        <v>142</v>
      </c>
      <c r="D77" s="103" t="s">
        <v>148</v>
      </c>
      <c r="E77" s="103" t="s">
        <v>149</v>
      </c>
      <c r="F77" s="100" t="s">
        <v>193</v>
      </c>
      <c r="G77" s="101" t="s">
        <v>194</v>
      </c>
      <c r="H77" s="89"/>
      <c r="I77" s="91"/>
      <c r="J77" s="91"/>
      <c r="K77" s="92"/>
      <c r="L77" s="102"/>
      <c r="M77" s="104"/>
      <c r="N77" s="104"/>
      <c r="O77" s="92"/>
      <c r="R77" s="107"/>
      <c r="S77" s="106"/>
      <c r="T77" s="106"/>
    </row>
    <row r="78" spans="1:20" ht="82.8" x14ac:dyDescent="0.3">
      <c r="A78" s="98">
        <v>45432</v>
      </c>
      <c r="B78" s="99" t="s">
        <v>147</v>
      </c>
      <c r="C78" s="89" t="s">
        <v>142</v>
      </c>
      <c r="D78" s="103" t="s">
        <v>148</v>
      </c>
      <c r="E78" s="103" t="s">
        <v>150</v>
      </c>
      <c r="F78" s="100" t="s">
        <v>193</v>
      </c>
      <c r="G78" s="101" t="s">
        <v>194</v>
      </c>
      <c r="H78" s="89"/>
      <c r="I78" s="91"/>
      <c r="J78" s="91"/>
      <c r="K78" s="92"/>
      <c r="L78" s="102"/>
      <c r="M78" s="104"/>
      <c r="N78" s="104"/>
      <c r="O78" s="92"/>
      <c r="R78" s="107"/>
      <c r="S78" s="106"/>
      <c r="T78" s="106"/>
    </row>
    <row r="79" spans="1:20" ht="33" customHeight="1" x14ac:dyDescent="0.3">
      <c r="A79" s="98">
        <v>45432</v>
      </c>
      <c r="B79" s="99" t="s">
        <v>271</v>
      </c>
      <c r="C79" s="89" t="s">
        <v>272</v>
      </c>
      <c r="D79" s="103" t="s">
        <v>273</v>
      </c>
      <c r="E79" s="103" t="s">
        <v>274</v>
      </c>
      <c r="F79" s="100" t="s">
        <v>193</v>
      </c>
      <c r="G79" s="101" t="s">
        <v>194</v>
      </c>
      <c r="H79" s="89"/>
      <c r="I79" s="91"/>
      <c r="J79" s="91"/>
      <c r="K79" s="92"/>
      <c r="L79" s="102"/>
      <c r="M79" s="104"/>
      <c r="N79" s="104"/>
      <c r="O79" s="92"/>
      <c r="R79" s="107"/>
      <c r="S79" s="106"/>
      <c r="T79" s="106"/>
    </row>
    <row r="80" spans="1:20" ht="82.8" x14ac:dyDescent="0.3">
      <c r="A80" s="98">
        <v>45432</v>
      </c>
      <c r="B80" s="99" t="s">
        <v>275</v>
      </c>
      <c r="C80" s="89" t="s">
        <v>276</v>
      </c>
      <c r="D80" s="103" t="s">
        <v>277</v>
      </c>
      <c r="E80" s="103" t="s">
        <v>278</v>
      </c>
      <c r="F80" s="100" t="s">
        <v>193</v>
      </c>
      <c r="G80" s="101" t="s">
        <v>194</v>
      </c>
      <c r="H80" s="89"/>
      <c r="I80" s="91"/>
      <c r="J80" s="91"/>
      <c r="K80" s="92"/>
      <c r="L80" s="102"/>
      <c r="M80" s="104"/>
      <c r="N80" s="104"/>
      <c r="O80" s="92"/>
      <c r="R80" s="107"/>
      <c r="S80" s="106"/>
      <c r="T80" s="106"/>
    </row>
    <row r="81" spans="1:20" ht="41.4" x14ac:dyDescent="0.3">
      <c r="A81" s="98">
        <v>45432</v>
      </c>
      <c r="B81" s="99" t="s">
        <v>279</v>
      </c>
      <c r="C81" s="89" t="s">
        <v>280</v>
      </c>
      <c r="D81" s="103" t="s">
        <v>281</v>
      </c>
      <c r="E81" s="103" t="s">
        <v>282</v>
      </c>
      <c r="F81" s="100" t="s">
        <v>193</v>
      </c>
      <c r="G81" s="101" t="s">
        <v>194</v>
      </c>
      <c r="H81" s="89"/>
      <c r="I81" s="91"/>
      <c r="J81" s="91"/>
      <c r="K81" s="92"/>
      <c r="L81" s="102"/>
      <c r="M81" s="104"/>
      <c r="N81" s="104"/>
      <c r="O81" s="92"/>
      <c r="R81" s="107"/>
      <c r="S81" s="106"/>
      <c r="T81" s="106"/>
    </row>
    <row r="82" spans="1:20" ht="39.6" x14ac:dyDescent="0.3">
      <c r="A82" s="98">
        <v>45432</v>
      </c>
      <c r="B82" s="99" t="s">
        <v>283</v>
      </c>
      <c r="C82" s="89" t="s">
        <v>284</v>
      </c>
      <c r="D82" s="103" t="s">
        <v>285</v>
      </c>
      <c r="E82" s="103" t="s">
        <v>286</v>
      </c>
      <c r="F82" s="100" t="s">
        <v>193</v>
      </c>
      <c r="G82" s="101" t="s">
        <v>194</v>
      </c>
      <c r="H82" s="89"/>
      <c r="I82" s="91"/>
      <c r="J82" s="91"/>
      <c r="K82" s="92"/>
      <c r="L82" s="102"/>
      <c r="M82" s="104"/>
      <c r="N82" s="104"/>
      <c r="O82" s="92"/>
      <c r="R82" s="107"/>
      <c r="S82" s="106"/>
      <c r="T82" s="106"/>
    </row>
    <row r="83" spans="1:20" ht="69" x14ac:dyDescent="0.3">
      <c r="A83" s="98">
        <v>45432</v>
      </c>
      <c r="B83" s="99" t="s">
        <v>154</v>
      </c>
      <c r="C83" s="89" t="s">
        <v>155</v>
      </c>
      <c r="D83" s="108" t="s">
        <v>156</v>
      </c>
      <c r="E83" s="103" t="s">
        <v>157</v>
      </c>
      <c r="F83" s="100" t="s">
        <v>193</v>
      </c>
      <c r="G83" s="101" t="s">
        <v>194</v>
      </c>
      <c r="H83" s="89"/>
      <c r="I83" s="91"/>
      <c r="J83" s="91"/>
      <c r="K83" s="92"/>
      <c r="L83" s="102"/>
      <c r="M83" s="104"/>
      <c r="N83" s="104"/>
      <c r="O83" s="92"/>
      <c r="R83" s="105"/>
      <c r="S83" s="106"/>
      <c r="T83" s="106"/>
    </row>
    <row r="84" spans="1:20" ht="69" x14ac:dyDescent="0.3">
      <c r="A84" s="98">
        <v>45432</v>
      </c>
      <c r="B84" s="99" t="s">
        <v>287</v>
      </c>
      <c r="C84" s="89" t="s">
        <v>288</v>
      </c>
      <c r="D84" s="103" t="s">
        <v>289</v>
      </c>
      <c r="E84" s="103" t="s">
        <v>290</v>
      </c>
      <c r="F84" s="100" t="s">
        <v>193</v>
      </c>
      <c r="G84" s="101" t="s">
        <v>194</v>
      </c>
      <c r="H84" s="89"/>
      <c r="I84" s="91"/>
      <c r="J84" s="91"/>
      <c r="K84" s="92"/>
      <c r="L84" s="102"/>
      <c r="M84" s="104"/>
      <c r="N84" s="104"/>
      <c r="O84" s="92"/>
      <c r="R84" s="105"/>
      <c r="S84" s="106"/>
      <c r="T84" s="106"/>
    </row>
    <row r="85" spans="1:20" ht="69" x14ac:dyDescent="0.3">
      <c r="A85" s="98">
        <v>45432</v>
      </c>
      <c r="B85" s="99" t="s">
        <v>291</v>
      </c>
      <c r="C85" s="89" t="s">
        <v>292</v>
      </c>
      <c r="D85" s="103" t="s">
        <v>289</v>
      </c>
      <c r="E85" s="103" t="s">
        <v>290</v>
      </c>
      <c r="F85" s="100" t="s">
        <v>193</v>
      </c>
      <c r="G85" s="101" t="s">
        <v>194</v>
      </c>
      <c r="H85" s="89"/>
      <c r="I85" s="91"/>
      <c r="J85" s="91"/>
      <c r="K85" s="92"/>
      <c r="L85" s="102"/>
      <c r="M85" s="104"/>
      <c r="N85" s="104"/>
      <c r="O85" s="92"/>
      <c r="R85" s="109"/>
      <c r="S85" s="106"/>
      <c r="T85" s="106"/>
    </row>
    <row r="86" spans="1:20" ht="41.4" x14ac:dyDescent="0.3">
      <c r="A86" s="98">
        <v>45432</v>
      </c>
      <c r="B86" s="99" t="s">
        <v>293</v>
      </c>
      <c r="C86" s="89" t="s">
        <v>272</v>
      </c>
      <c r="D86" s="103" t="s">
        <v>195</v>
      </c>
      <c r="E86" s="103" t="s">
        <v>237</v>
      </c>
      <c r="F86" s="100" t="s">
        <v>193</v>
      </c>
      <c r="G86" s="101" t="s">
        <v>194</v>
      </c>
      <c r="H86" s="89"/>
      <c r="I86" s="91"/>
      <c r="J86" s="91"/>
      <c r="K86" s="92"/>
      <c r="L86" s="102"/>
      <c r="M86" s="104"/>
      <c r="N86" s="104"/>
      <c r="O86" s="92"/>
      <c r="R86" s="109"/>
      <c r="S86" s="106"/>
      <c r="T86" s="106"/>
    </row>
    <row r="87" spans="1:20" ht="39.6" x14ac:dyDescent="0.3">
      <c r="A87" s="98">
        <v>45432</v>
      </c>
      <c r="B87" s="99" t="s">
        <v>294</v>
      </c>
      <c r="C87" s="89" t="s">
        <v>295</v>
      </c>
      <c r="D87" s="103" t="s">
        <v>206</v>
      </c>
      <c r="E87" s="103" t="s">
        <v>207</v>
      </c>
      <c r="F87" s="100" t="s">
        <v>193</v>
      </c>
      <c r="G87" s="101" t="s">
        <v>194</v>
      </c>
      <c r="H87" s="89"/>
      <c r="I87" s="91"/>
      <c r="J87" s="91"/>
      <c r="K87" s="92"/>
      <c r="L87" s="102"/>
      <c r="M87" s="104"/>
      <c r="N87" s="104"/>
      <c r="O87" s="92"/>
      <c r="R87" s="109"/>
      <c r="S87" s="106"/>
      <c r="T87" s="106"/>
    </row>
    <row r="88" spans="1:20" ht="39.6" x14ac:dyDescent="0.3">
      <c r="A88" s="98">
        <v>45432</v>
      </c>
      <c r="B88" s="99" t="s">
        <v>296</v>
      </c>
      <c r="C88" s="89" t="s">
        <v>297</v>
      </c>
      <c r="D88" s="103" t="s">
        <v>206</v>
      </c>
      <c r="E88" s="103" t="s">
        <v>207</v>
      </c>
      <c r="F88" s="100" t="s">
        <v>193</v>
      </c>
      <c r="G88" s="101" t="s">
        <v>194</v>
      </c>
      <c r="H88" s="89"/>
      <c r="I88" s="91"/>
      <c r="J88" s="91"/>
      <c r="K88" s="92"/>
      <c r="L88" s="102"/>
      <c r="M88" s="104"/>
      <c r="N88" s="104"/>
      <c r="O88" s="92"/>
      <c r="R88" s="109"/>
      <c r="S88" s="106"/>
      <c r="T88" s="106"/>
    </row>
    <row r="89" spans="1:20" ht="39.6" x14ac:dyDescent="0.3">
      <c r="A89" s="98">
        <v>45432</v>
      </c>
      <c r="B89" s="99" t="s">
        <v>298</v>
      </c>
      <c r="C89" s="89" t="s">
        <v>299</v>
      </c>
      <c r="D89" s="103" t="s">
        <v>206</v>
      </c>
      <c r="E89" s="103" t="s">
        <v>207</v>
      </c>
      <c r="F89" s="100" t="s">
        <v>193</v>
      </c>
      <c r="G89" s="101" t="s">
        <v>194</v>
      </c>
      <c r="H89" s="89"/>
      <c r="I89" s="91"/>
      <c r="J89" s="91"/>
      <c r="K89" s="92"/>
      <c r="L89" s="102"/>
      <c r="M89" s="104"/>
      <c r="N89" s="104"/>
      <c r="O89" s="92"/>
      <c r="R89" s="109"/>
      <c r="S89" s="106"/>
      <c r="T89" s="106"/>
    </row>
    <row r="90" spans="1:20" ht="82.8" x14ac:dyDescent="0.3">
      <c r="A90" s="98">
        <v>45432</v>
      </c>
      <c r="B90" s="99" t="s">
        <v>300</v>
      </c>
      <c r="C90" s="89" t="s">
        <v>301</v>
      </c>
      <c r="D90" s="103" t="s">
        <v>224</v>
      </c>
      <c r="E90" s="103" t="s">
        <v>225</v>
      </c>
      <c r="F90" s="100" t="s">
        <v>193</v>
      </c>
      <c r="G90" s="101" t="s">
        <v>194</v>
      </c>
      <c r="H90" s="101"/>
      <c r="I90" s="110"/>
      <c r="J90" s="110"/>
      <c r="K90" s="111"/>
      <c r="L90" s="102"/>
      <c r="M90" s="104"/>
      <c r="N90" s="104"/>
      <c r="O90" s="111"/>
      <c r="R90" s="109"/>
      <c r="S90" s="106"/>
      <c r="T90" s="106"/>
    </row>
    <row r="91" spans="1:20" ht="55.2" x14ac:dyDescent="0.3">
      <c r="A91" s="98">
        <v>45432</v>
      </c>
      <c r="B91" s="99" t="s">
        <v>302</v>
      </c>
      <c r="C91" s="89" t="s">
        <v>303</v>
      </c>
      <c r="D91" s="103" t="s">
        <v>228</v>
      </c>
      <c r="E91" s="103" t="s">
        <v>229</v>
      </c>
      <c r="F91" s="100" t="s">
        <v>193</v>
      </c>
      <c r="G91" s="101" t="s">
        <v>194</v>
      </c>
      <c r="H91" s="103"/>
      <c r="I91" s="112"/>
      <c r="J91" s="110">
        <f>226.2+15.84</f>
        <v>242.04</v>
      </c>
      <c r="K91" s="113"/>
      <c r="L91" s="102"/>
      <c r="M91" s="104"/>
      <c r="N91" s="104"/>
      <c r="O91" s="113"/>
      <c r="R91" s="109"/>
      <c r="S91" s="106"/>
      <c r="T91" s="106"/>
    </row>
    <row r="92" spans="1:20" ht="41.4" x14ac:dyDescent="0.3">
      <c r="A92" s="98">
        <v>45432</v>
      </c>
      <c r="B92" s="99" t="s">
        <v>304</v>
      </c>
      <c r="C92" s="89" t="s">
        <v>305</v>
      </c>
      <c r="D92" s="103" t="s">
        <v>306</v>
      </c>
      <c r="E92" s="103" t="s">
        <v>307</v>
      </c>
      <c r="F92" s="100" t="s">
        <v>193</v>
      </c>
      <c r="G92" s="101" t="s">
        <v>194</v>
      </c>
      <c r="H92" s="103"/>
      <c r="I92" s="112"/>
      <c r="J92" s="110"/>
      <c r="K92" s="113"/>
      <c r="L92" s="102"/>
      <c r="M92" s="104"/>
      <c r="N92" s="104"/>
      <c r="O92" s="113"/>
      <c r="R92" s="109"/>
      <c r="S92" s="106"/>
      <c r="T92" s="106"/>
    </row>
    <row r="93" spans="1:20" ht="39.6" x14ac:dyDescent="0.3">
      <c r="A93" s="98">
        <v>45432</v>
      </c>
      <c r="B93" s="99" t="s">
        <v>308</v>
      </c>
      <c r="C93" s="89" t="s">
        <v>309</v>
      </c>
      <c r="D93" s="103" t="s">
        <v>206</v>
      </c>
      <c r="E93" s="103" t="s">
        <v>207</v>
      </c>
      <c r="F93" s="100" t="s">
        <v>193</v>
      </c>
      <c r="G93" s="101" t="s">
        <v>194</v>
      </c>
      <c r="H93" s="103"/>
      <c r="I93" s="112"/>
      <c r="J93" s="110"/>
      <c r="K93" s="113"/>
      <c r="L93" s="102"/>
      <c r="M93" s="104"/>
      <c r="N93" s="104"/>
      <c r="O93" s="113"/>
      <c r="R93" s="109"/>
      <c r="S93" s="106"/>
      <c r="T93" s="106"/>
    </row>
    <row r="94" spans="1:20" ht="39.6" x14ac:dyDescent="0.3">
      <c r="A94" s="98">
        <v>45432</v>
      </c>
      <c r="B94" s="99" t="s">
        <v>310</v>
      </c>
      <c r="C94" s="89" t="s">
        <v>311</v>
      </c>
      <c r="D94" s="103" t="s">
        <v>206</v>
      </c>
      <c r="E94" s="103" t="s">
        <v>207</v>
      </c>
      <c r="F94" s="100" t="s">
        <v>193</v>
      </c>
      <c r="G94" s="101" t="s">
        <v>194</v>
      </c>
      <c r="H94" s="103"/>
      <c r="I94" s="112"/>
      <c r="J94" s="110"/>
      <c r="K94" s="113"/>
      <c r="L94" s="102"/>
      <c r="M94" s="104"/>
      <c r="N94" s="104"/>
      <c r="O94" s="113"/>
      <c r="R94" s="109"/>
      <c r="S94" s="106"/>
      <c r="T94" s="106"/>
    </row>
    <row r="95" spans="1:20" ht="39.6" x14ac:dyDescent="0.3">
      <c r="A95" s="98">
        <v>45432</v>
      </c>
      <c r="B95" s="99" t="s">
        <v>312</v>
      </c>
      <c r="C95" s="89" t="s">
        <v>313</v>
      </c>
      <c r="D95" s="103" t="s">
        <v>206</v>
      </c>
      <c r="E95" s="103" t="s">
        <v>207</v>
      </c>
      <c r="F95" s="100" t="s">
        <v>193</v>
      </c>
      <c r="G95" s="101" t="s">
        <v>194</v>
      </c>
      <c r="H95" s="103"/>
      <c r="I95" s="112"/>
      <c r="J95" s="110"/>
      <c r="K95" s="113"/>
      <c r="L95" s="102"/>
      <c r="M95" s="104"/>
      <c r="N95" s="104"/>
      <c r="O95" s="113"/>
      <c r="R95" s="109"/>
      <c r="S95" s="106"/>
      <c r="T95" s="106"/>
    </row>
    <row r="96" spans="1:20" ht="39.6" x14ac:dyDescent="0.3">
      <c r="A96" s="98">
        <v>45432</v>
      </c>
      <c r="B96" s="99" t="s">
        <v>314</v>
      </c>
      <c r="C96" s="89" t="s">
        <v>315</v>
      </c>
      <c r="D96" s="103" t="s">
        <v>206</v>
      </c>
      <c r="E96" s="103" t="s">
        <v>207</v>
      </c>
      <c r="F96" s="100" t="s">
        <v>193</v>
      </c>
      <c r="G96" s="101" t="s">
        <v>194</v>
      </c>
      <c r="H96" s="103"/>
      <c r="I96" s="112"/>
      <c r="J96" s="110"/>
      <c r="K96" s="113"/>
      <c r="L96" s="102"/>
      <c r="M96" s="104"/>
      <c r="N96" s="104"/>
      <c r="O96" s="113"/>
      <c r="R96" s="109"/>
      <c r="S96" s="106"/>
      <c r="T96" s="106"/>
    </row>
    <row r="97" spans="1:20" ht="39.6" x14ac:dyDescent="0.3">
      <c r="A97" s="98">
        <v>45432</v>
      </c>
      <c r="B97" s="99" t="s">
        <v>316</v>
      </c>
      <c r="C97" s="89" t="s">
        <v>317</v>
      </c>
      <c r="D97" s="103" t="s">
        <v>206</v>
      </c>
      <c r="E97" s="103" t="s">
        <v>207</v>
      </c>
      <c r="F97" s="100" t="s">
        <v>193</v>
      </c>
      <c r="G97" s="101" t="s">
        <v>194</v>
      </c>
      <c r="H97" s="103"/>
      <c r="I97" s="112"/>
      <c r="J97" s="110"/>
      <c r="K97" s="113"/>
      <c r="L97" s="102"/>
      <c r="M97" s="104"/>
      <c r="N97" s="104"/>
      <c r="O97" s="113"/>
      <c r="R97" s="109"/>
      <c r="S97" s="106"/>
      <c r="T97" s="106"/>
    </row>
    <row r="98" spans="1:20" ht="39.6" x14ac:dyDescent="0.3">
      <c r="A98" s="98">
        <v>45432</v>
      </c>
      <c r="B98" s="99" t="s">
        <v>318</v>
      </c>
      <c r="C98" s="89" t="s">
        <v>319</v>
      </c>
      <c r="D98" s="103" t="s">
        <v>206</v>
      </c>
      <c r="E98" s="103" t="s">
        <v>207</v>
      </c>
      <c r="F98" s="100" t="s">
        <v>193</v>
      </c>
      <c r="G98" s="101" t="s">
        <v>194</v>
      </c>
      <c r="H98" s="103"/>
      <c r="I98" s="112"/>
      <c r="J98" s="110"/>
      <c r="K98" s="113"/>
      <c r="L98" s="102"/>
      <c r="M98" s="104"/>
      <c r="N98" s="104"/>
      <c r="O98" s="113"/>
      <c r="R98" s="109"/>
      <c r="S98" s="106"/>
      <c r="T98" s="106"/>
    </row>
    <row r="99" spans="1:20" ht="39.6" x14ac:dyDescent="0.3">
      <c r="A99" s="98">
        <v>45432</v>
      </c>
      <c r="B99" s="99" t="s">
        <v>320</v>
      </c>
      <c r="C99" s="89" t="s">
        <v>321</v>
      </c>
      <c r="D99" s="103" t="s">
        <v>206</v>
      </c>
      <c r="E99" s="103" t="s">
        <v>207</v>
      </c>
      <c r="F99" s="103" t="s">
        <v>193</v>
      </c>
      <c r="G99" s="101" t="s">
        <v>194</v>
      </c>
      <c r="H99" s="103"/>
      <c r="I99" s="112"/>
      <c r="J99" s="110"/>
      <c r="K99" s="113"/>
      <c r="L99" s="102"/>
      <c r="M99" s="104"/>
      <c r="N99" s="104"/>
      <c r="O99" s="113"/>
      <c r="R99" s="109"/>
      <c r="S99" s="106"/>
      <c r="T99" s="106"/>
    </row>
    <row r="100" spans="1:20" ht="39.6" x14ac:dyDescent="0.3">
      <c r="A100" s="98">
        <v>45432</v>
      </c>
      <c r="B100" s="99" t="s">
        <v>322</v>
      </c>
      <c r="C100" s="89" t="s">
        <v>323</v>
      </c>
      <c r="D100" s="103" t="s">
        <v>206</v>
      </c>
      <c r="E100" s="103" t="s">
        <v>207</v>
      </c>
      <c r="F100" s="100" t="s">
        <v>193</v>
      </c>
      <c r="G100" s="101" t="s">
        <v>194</v>
      </c>
      <c r="H100" s="103"/>
      <c r="I100" s="112"/>
      <c r="J100" s="110"/>
      <c r="K100" s="113"/>
      <c r="L100" s="102"/>
      <c r="M100" s="104"/>
      <c r="N100" s="104"/>
      <c r="O100" s="113"/>
      <c r="R100" s="109"/>
      <c r="S100" s="106"/>
      <c r="T100" s="106"/>
    </row>
    <row r="101" spans="1:20" ht="39.6" x14ac:dyDescent="0.3">
      <c r="A101" s="98">
        <v>45432</v>
      </c>
      <c r="B101" s="99" t="s">
        <v>324</v>
      </c>
      <c r="C101" s="89" t="s">
        <v>325</v>
      </c>
      <c r="D101" s="103" t="s">
        <v>206</v>
      </c>
      <c r="E101" s="103" t="s">
        <v>207</v>
      </c>
      <c r="F101" s="100" t="s">
        <v>193</v>
      </c>
      <c r="G101" s="101" t="s">
        <v>194</v>
      </c>
      <c r="H101" s="103"/>
      <c r="I101" s="112"/>
      <c r="J101" s="110"/>
      <c r="K101" s="113"/>
      <c r="L101" s="102"/>
      <c r="M101" s="104"/>
      <c r="N101" s="104"/>
      <c r="O101" s="113"/>
      <c r="R101" s="109"/>
      <c r="S101" s="106"/>
      <c r="T101" s="106"/>
    </row>
    <row r="102" spans="1:20" ht="39.6" x14ac:dyDescent="0.3">
      <c r="A102" s="98">
        <v>45432</v>
      </c>
      <c r="B102" s="99" t="s">
        <v>326</v>
      </c>
      <c r="C102" s="89" t="s">
        <v>327</v>
      </c>
      <c r="D102" s="103" t="s">
        <v>206</v>
      </c>
      <c r="E102" s="103" t="s">
        <v>207</v>
      </c>
      <c r="F102" s="100" t="s">
        <v>193</v>
      </c>
      <c r="G102" s="101" t="s">
        <v>194</v>
      </c>
      <c r="H102" s="103"/>
      <c r="I102" s="112"/>
      <c r="J102" s="110"/>
      <c r="K102" s="113"/>
      <c r="L102" s="102"/>
      <c r="M102" s="104"/>
      <c r="N102" s="104"/>
      <c r="O102" s="113"/>
      <c r="R102" s="109"/>
      <c r="S102" s="106"/>
      <c r="T102" s="106"/>
    </row>
    <row r="103" spans="1:20" ht="39.6" x14ac:dyDescent="0.3">
      <c r="A103" s="98">
        <v>45432</v>
      </c>
      <c r="B103" s="99" t="s">
        <v>328</v>
      </c>
      <c r="C103" s="89" t="s">
        <v>325</v>
      </c>
      <c r="D103" s="103" t="s">
        <v>206</v>
      </c>
      <c r="E103" s="103" t="s">
        <v>207</v>
      </c>
      <c r="F103" s="100" t="s">
        <v>193</v>
      </c>
      <c r="G103" s="101" t="s">
        <v>194</v>
      </c>
      <c r="H103" s="103"/>
      <c r="I103" s="112"/>
      <c r="J103" s="110"/>
      <c r="K103" s="113"/>
      <c r="L103" s="102"/>
      <c r="M103" s="104"/>
      <c r="N103" s="104"/>
      <c r="O103" s="113"/>
      <c r="R103" s="109"/>
      <c r="S103" s="106"/>
      <c r="T103" s="106"/>
    </row>
    <row r="104" spans="1:20" ht="39.6" x14ac:dyDescent="0.3">
      <c r="A104" s="98">
        <v>45432</v>
      </c>
      <c r="B104" s="99" t="s">
        <v>329</v>
      </c>
      <c r="C104" s="89" t="s">
        <v>330</v>
      </c>
      <c r="D104" s="103" t="s">
        <v>206</v>
      </c>
      <c r="E104" s="103" t="s">
        <v>207</v>
      </c>
      <c r="F104" s="100" t="s">
        <v>193</v>
      </c>
      <c r="G104" s="101" t="s">
        <v>194</v>
      </c>
      <c r="H104" s="103"/>
      <c r="I104" s="112"/>
      <c r="J104" s="110"/>
      <c r="K104" s="113"/>
      <c r="L104" s="102"/>
      <c r="M104" s="104"/>
      <c r="N104" s="104"/>
      <c r="O104" s="113"/>
      <c r="R104" s="109"/>
      <c r="S104" s="106"/>
      <c r="T104" s="106"/>
    </row>
    <row r="105" spans="1:20" ht="39.6" x14ac:dyDescent="0.3">
      <c r="A105" s="98">
        <v>45432</v>
      </c>
      <c r="B105" s="99" t="s">
        <v>331</v>
      </c>
      <c r="C105" s="89" t="s">
        <v>266</v>
      </c>
      <c r="D105" s="103" t="s">
        <v>206</v>
      </c>
      <c r="E105" s="103" t="s">
        <v>207</v>
      </c>
      <c r="F105" s="100" t="s">
        <v>193</v>
      </c>
      <c r="G105" s="101" t="s">
        <v>194</v>
      </c>
      <c r="H105" s="100"/>
      <c r="I105" s="112"/>
      <c r="J105" s="110"/>
      <c r="K105" s="113"/>
      <c r="L105" s="102"/>
      <c r="M105" s="104"/>
      <c r="N105" s="104"/>
      <c r="O105" s="113"/>
      <c r="R105" s="109"/>
      <c r="S105" s="106"/>
      <c r="T105" s="106"/>
    </row>
    <row r="106" spans="1:20" ht="39.6" x14ac:dyDescent="0.3">
      <c r="A106" s="98">
        <v>45432</v>
      </c>
      <c r="B106" s="99" t="s">
        <v>332</v>
      </c>
      <c r="C106" s="89" t="s">
        <v>295</v>
      </c>
      <c r="D106" s="103" t="s">
        <v>206</v>
      </c>
      <c r="E106" s="103" t="s">
        <v>207</v>
      </c>
      <c r="F106" s="100" t="s">
        <v>193</v>
      </c>
      <c r="G106" s="101" t="s">
        <v>194</v>
      </c>
      <c r="H106" s="100"/>
      <c r="I106" s="112"/>
      <c r="J106" s="110"/>
      <c r="K106" s="113"/>
      <c r="L106" s="102"/>
      <c r="M106" s="104"/>
      <c r="N106" s="104"/>
      <c r="O106" s="113"/>
      <c r="R106" s="109"/>
      <c r="S106" s="106"/>
      <c r="T106" s="106"/>
    </row>
    <row r="107" spans="1:20" ht="41.4" x14ac:dyDescent="0.3">
      <c r="A107" s="98">
        <v>45432</v>
      </c>
      <c r="B107" s="99" t="s">
        <v>333</v>
      </c>
      <c r="C107" s="89" t="s">
        <v>334</v>
      </c>
      <c r="D107" s="103" t="s">
        <v>195</v>
      </c>
      <c r="E107" s="103" t="s">
        <v>237</v>
      </c>
      <c r="F107" s="100" t="s">
        <v>193</v>
      </c>
      <c r="G107" s="101" t="s">
        <v>194</v>
      </c>
      <c r="H107" s="103"/>
      <c r="I107" s="112"/>
      <c r="J107" s="110"/>
      <c r="K107" s="113"/>
      <c r="L107" s="102"/>
      <c r="M107" s="104"/>
      <c r="N107" s="104"/>
      <c r="O107" s="113"/>
      <c r="R107" s="109"/>
      <c r="S107" s="106"/>
      <c r="T107" s="106"/>
    </row>
    <row r="108" spans="1:20" ht="41.4" x14ac:dyDescent="0.3">
      <c r="A108" s="98">
        <v>45432</v>
      </c>
      <c r="B108" s="99" t="s">
        <v>335</v>
      </c>
      <c r="C108" s="89" t="s">
        <v>334</v>
      </c>
      <c r="D108" s="103" t="s">
        <v>195</v>
      </c>
      <c r="E108" s="103" t="s">
        <v>237</v>
      </c>
      <c r="F108" s="100" t="s">
        <v>193</v>
      </c>
      <c r="G108" s="101" t="s">
        <v>194</v>
      </c>
      <c r="H108" s="103"/>
      <c r="I108" s="112"/>
      <c r="J108" s="110"/>
      <c r="K108" s="113"/>
      <c r="L108" s="102"/>
      <c r="M108" s="104"/>
      <c r="N108" s="104"/>
      <c r="O108" s="113"/>
      <c r="R108" s="109"/>
      <c r="S108" s="106"/>
      <c r="T108" s="106"/>
    </row>
    <row r="109" spans="1:20" ht="41.4" x14ac:dyDescent="0.3">
      <c r="A109" s="98">
        <v>45432</v>
      </c>
      <c r="B109" s="99" t="s">
        <v>336</v>
      </c>
      <c r="C109" s="89" t="s">
        <v>334</v>
      </c>
      <c r="D109" s="103" t="s">
        <v>195</v>
      </c>
      <c r="E109" s="103" t="s">
        <v>237</v>
      </c>
      <c r="F109" s="100" t="s">
        <v>193</v>
      </c>
      <c r="G109" s="101" t="s">
        <v>194</v>
      </c>
      <c r="H109" s="103"/>
      <c r="I109" s="112"/>
      <c r="J109" s="110"/>
      <c r="K109" s="113"/>
      <c r="L109" s="102"/>
      <c r="M109" s="104"/>
      <c r="N109" s="104"/>
      <c r="O109" s="113"/>
      <c r="R109" s="109"/>
      <c r="S109" s="106"/>
      <c r="T109" s="106"/>
    </row>
    <row r="110" spans="1:20" ht="41.4" x14ac:dyDescent="0.3">
      <c r="A110" s="98">
        <v>45432</v>
      </c>
      <c r="B110" s="99" t="s">
        <v>337</v>
      </c>
      <c r="C110" s="89" t="s">
        <v>325</v>
      </c>
      <c r="D110" s="103" t="s">
        <v>195</v>
      </c>
      <c r="E110" s="103" t="s">
        <v>237</v>
      </c>
      <c r="F110" s="100" t="s">
        <v>193</v>
      </c>
      <c r="G110" s="101" t="s">
        <v>194</v>
      </c>
      <c r="H110" s="103"/>
      <c r="I110" s="112"/>
      <c r="J110" s="110"/>
      <c r="K110" s="113"/>
      <c r="L110" s="102"/>
      <c r="M110" s="104"/>
      <c r="N110" s="104"/>
      <c r="O110" s="113"/>
      <c r="R110" s="109"/>
      <c r="S110" s="106"/>
      <c r="T110" s="106"/>
    </row>
    <row r="111" spans="1:20" ht="41.4" x14ac:dyDescent="0.3">
      <c r="A111" s="98">
        <v>45432</v>
      </c>
      <c r="B111" s="99" t="s">
        <v>338</v>
      </c>
      <c r="C111" s="89" t="s">
        <v>325</v>
      </c>
      <c r="D111" s="103" t="s">
        <v>195</v>
      </c>
      <c r="E111" s="103" t="s">
        <v>237</v>
      </c>
      <c r="F111" s="100" t="s">
        <v>193</v>
      </c>
      <c r="G111" s="101" t="s">
        <v>194</v>
      </c>
      <c r="H111" s="103"/>
      <c r="I111" s="112"/>
      <c r="J111" s="110"/>
      <c r="K111" s="113"/>
      <c r="L111" s="102"/>
      <c r="M111" s="104"/>
      <c r="N111" s="104"/>
      <c r="O111" s="113"/>
      <c r="R111" s="109"/>
      <c r="S111" s="106"/>
      <c r="T111" s="106"/>
    </row>
    <row r="112" spans="1:20" ht="39.6" x14ac:dyDescent="0.3">
      <c r="A112" s="98">
        <v>45432</v>
      </c>
      <c r="B112" s="99" t="s">
        <v>339</v>
      </c>
      <c r="C112" s="89" t="s">
        <v>334</v>
      </c>
      <c r="D112" s="100" t="s">
        <v>244</v>
      </c>
      <c r="E112" s="100" t="s">
        <v>245</v>
      </c>
      <c r="F112" s="100" t="s">
        <v>193</v>
      </c>
      <c r="G112" s="101" t="s">
        <v>194</v>
      </c>
      <c r="H112" s="103"/>
      <c r="I112" s="112"/>
      <c r="J112" s="110"/>
      <c r="K112" s="113"/>
      <c r="L112" s="102"/>
      <c r="M112" s="104"/>
      <c r="N112" s="104"/>
      <c r="O112" s="113"/>
      <c r="R112" s="109"/>
      <c r="S112" s="106"/>
      <c r="T112" s="106"/>
    </row>
    <row r="113" spans="1:20" ht="39.6" x14ac:dyDescent="0.3">
      <c r="A113" s="98">
        <v>45432</v>
      </c>
      <c r="B113" s="99" t="s">
        <v>340</v>
      </c>
      <c r="C113" s="89" t="s">
        <v>334</v>
      </c>
      <c r="D113" s="100" t="s">
        <v>244</v>
      </c>
      <c r="E113" s="100" t="s">
        <v>245</v>
      </c>
      <c r="F113" s="100" t="s">
        <v>193</v>
      </c>
      <c r="G113" s="101" t="s">
        <v>194</v>
      </c>
      <c r="H113" s="103"/>
      <c r="I113" s="112"/>
      <c r="J113" s="110"/>
      <c r="K113" s="113"/>
      <c r="L113" s="102"/>
      <c r="M113" s="104"/>
      <c r="N113" s="104"/>
      <c r="O113" s="113"/>
      <c r="R113" s="109"/>
      <c r="S113" s="106"/>
      <c r="T113" s="106"/>
    </row>
    <row r="114" spans="1:20" ht="39.6" x14ac:dyDescent="0.3">
      <c r="A114" s="98">
        <v>45432</v>
      </c>
      <c r="B114" s="99" t="s">
        <v>341</v>
      </c>
      <c r="C114" s="89" t="s">
        <v>334</v>
      </c>
      <c r="D114" s="100" t="s">
        <v>244</v>
      </c>
      <c r="E114" s="100" t="s">
        <v>245</v>
      </c>
      <c r="F114" s="100" t="s">
        <v>193</v>
      </c>
      <c r="G114" s="101" t="s">
        <v>194</v>
      </c>
      <c r="H114" s="103"/>
      <c r="I114" s="112"/>
      <c r="J114" s="110"/>
      <c r="K114" s="113"/>
      <c r="L114" s="102"/>
      <c r="M114" s="104"/>
      <c r="N114" s="104"/>
      <c r="O114" s="113"/>
      <c r="R114" s="109"/>
      <c r="S114" s="106"/>
      <c r="T114" s="106"/>
    </row>
    <row r="115" spans="1:20" ht="39.6" x14ac:dyDescent="0.3">
      <c r="A115" s="98">
        <v>45432</v>
      </c>
      <c r="B115" s="99" t="s">
        <v>342</v>
      </c>
      <c r="C115" s="89" t="s">
        <v>280</v>
      </c>
      <c r="D115" s="100" t="s">
        <v>244</v>
      </c>
      <c r="E115" s="100" t="s">
        <v>245</v>
      </c>
      <c r="F115" s="100" t="s">
        <v>193</v>
      </c>
      <c r="G115" s="101" t="s">
        <v>194</v>
      </c>
      <c r="H115" s="103"/>
      <c r="I115" s="112"/>
      <c r="J115" s="110"/>
      <c r="K115" s="113"/>
      <c r="L115" s="102"/>
      <c r="M115" s="104"/>
      <c r="N115" s="104"/>
      <c r="O115" s="113"/>
      <c r="R115" s="109"/>
      <c r="S115" s="106"/>
      <c r="T115" s="106"/>
    </row>
    <row r="116" spans="1:20" ht="39.6" x14ac:dyDescent="0.3">
      <c r="A116" s="98">
        <v>45432</v>
      </c>
      <c r="B116" s="99" t="s">
        <v>343</v>
      </c>
      <c r="C116" s="89" t="s">
        <v>344</v>
      </c>
      <c r="D116" s="103" t="s">
        <v>232</v>
      </c>
      <c r="E116" s="103" t="s">
        <v>233</v>
      </c>
      <c r="F116" s="100" t="s">
        <v>193</v>
      </c>
      <c r="G116" s="101" t="s">
        <v>194</v>
      </c>
      <c r="H116" s="103"/>
      <c r="I116" s="112"/>
      <c r="J116" s="110"/>
      <c r="K116" s="113"/>
      <c r="L116" s="102"/>
      <c r="M116" s="104"/>
      <c r="N116" s="104"/>
      <c r="O116" s="113"/>
      <c r="R116" s="109"/>
      <c r="S116" s="106"/>
      <c r="T116" s="106"/>
    </row>
    <row r="117" spans="1:20" ht="39.6" x14ac:dyDescent="0.3">
      <c r="A117" s="98">
        <v>45432</v>
      </c>
      <c r="B117" s="99" t="s">
        <v>345</v>
      </c>
      <c r="C117" s="89" t="s">
        <v>346</v>
      </c>
      <c r="D117" s="103" t="s">
        <v>232</v>
      </c>
      <c r="E117" s="103" t="s">
        <v>233</v>
      </c>
      <c r="F117" s="100" t="s">
        <v>193</v>
      </c>
      <c r="G117" s="101" t="s">
        <v>194</v>
      </c>
      <c r="H117" s="103"/>
      <c r="I117" s="112"/>
      <c r="J117" s="110"/>
      <c r="K117" s="113"/>
      <c r="L117" s="102"/>
      <c r="M117" s="104"/>
      <c r="N117" s="104"/>
      <c r="O117" s="113"/>
      <c r="R117" s="109"/>
      <c r="S117" s="106"/>
      <c r="T117" s="106"/>
    </row>
    <row r="118" spans="1:20" ht="39.6" x14ac:dyDescent="0.3">
      <c r="A118" s="98">
        <v>45432</v>
      </c>
      <c r="B118" s="99" t="s">
        <v>347</v>
      </c>
      <c r="C118" s="89" t="s">
        <v>344</v>
      </c>
      <c r="D118" s="103" t="s">
        <v>232</v>
      </c>
      <c r="E118" s="103" t="s">
        <v>233</v>
      </c>
      <c r="F118" s="100" t="s">
        <v>193</v>
      </c>
      <c r="G118" s="101" t="s">
        <v>194</v>
      </c>
      <c r="H118" s="103"/>
      <c r="I118" s="112"/>
      <c r="J118" s="110"/>
      <c r="K118" s="113"/>
      <c r="L118" s="102"/>
      <c r="M118" s="104"/>
      <c r="N118" s="104"/>
      <c r="O118" s="113"/>
      <c r="R118" s="109"/>
      <c r="S118" s="106"/>
      <c r="T118" s="106"/>
    </row>
    <row r="119" spans="1:20" ht="39.6" x14ac:dyDescent="0.3">
      <c r="A119" s="98">
        <v>45432</v>
      </c>
      <c r="B119" s="99" t="s">
        <v>348</v>
      </c>
      <c r="C119" s="89" t="s">
        <v>349</v>
      </c>
      <c r="D119" s="103" t="s">
        <v>232</v>
      </c>
      <c r="E119" s="103" t="s">
        <v>233</v>
      </c>
      <c r="F119" s="100" t="s">
        <v>193</v>
      </c>
      <c r="G119" s="101" t="s">
        <v>194</v>
      </c>
      <c r="H119" s="103"/>
      <c r="I119" s="112"/>
      <c r="J119" s="110"/>
      <c r="K119" s="113"/>
      <c r="L119" s="102"/>
      <c r="M119" s="104"/>
      <c r="N119" s="104"/>
      <c r="O119" s="113"/>
      <c r="R119" s="109"/>
      <c r="S119" s="106"/>
      <c r="T119" s="106"/>
    </row>
    <row r="120" spans="1:20" ht="39.6" x14ac:dyDescent="0.3">
      <c r="A120" s="98">
        <v>45432</v>
      </c>
      <c r="B120" s="99" t="s">
        <v>350</v>
      </c>
      <c r="C120" s="89" t="s">
        <v>351</v>
      </c>
      <c r="D120" s="103" t="s">
        <v>232</v>
      </c>
      <c r="E120" s="103" t="s">
        <v>233</v>
      </c>
      <c r="F120" s="100" t="s">
        <v>193</v>
      </c>
      <c r="G120" s="101" t="s">
        <v>194</v>
      </c>
      <c r="H120" s="103"/>
      <c r="I120" s="112"/>
      <c r="J120" s="110"/>
      <c r="K120" s="113"/>
      <c r="L120" s="102"/>
      <c r="M120" s="104"/>
      <c r="N120" s="104"/>
      <c r="O120" s="113"/>
      <c r="R120" s="109"/>
      <c r="S120" s="106"/>
      <c r="T120" s="106"/>
    </row>
    <row r="121" spans="1:20" x14ac:dyDescent="0.3">
      <c r="A121" s="98"/>
      <c r="B121" s="99" t="s">
        <v>352</v>
      </c>
      <c r="C121" s="101"/>
      <c r="D121" s="100"/>
      <c r="E121" s="100"/>
      <c r="F121" s="100"/>
      <c r="G121" s="100"/>
      <c r="H121" s="100"/>
      <c r="I121" s="114"/>
      <c r="J121" s="114"/>
      <c r="K121" s="115"/>
      <c r="L121" s="115"/>
      <c r="M121" s="115"/>
      <c r="N121" s="115"/>
      <c r="O121" s="115"/>
      <c r="R121" s="116"/>
      <c r="S121" s="106"/>
      <c r="T121" s="106"/>
    </row>
    <row r="122" spans="1:20" ht="41.4" x14ac:dyDescent="0.3">
      <c r="A122" s="98"/>
      <c r="B122" s="102" t="s">
        <v>197</v>
      </c>
      <c r="C122" s="98" t="s">
        <v>159</v>
      </c>
      <c r="D122" s="103" t="s">
        <v>195</v>
      </c>
      <c r="E122" s="103" t="s">
        <v>196</v>
      </c>
      <c r="F122" s="100" t="s">
        <v>193</v>
      </c>
      <c r="G122" s="101" t="s">
        <v>194</v>
      </c>
      <c r="H122" s="100"/>
      <c r="I122" s="114"/>
      <c r="J122" s="114"/>
      <c r="K122" s="115"/>
      <c r="L122" s="115"/>
      <c r="M122" s="115"/>
      <c r="N122" s="115"/>
      <c r="O122" s="115"/>
      <c r="R122" s="109"/>
      <c r="S122" s="106"/>
      <c r="T122" s="106"/>
    </row>
    <row r="123" spans="1:20" ht="41.4" x14ac:dyDescent="0.3">
      <c r="A123" s="98"/>
      <c r="B123" s="102" t="s">
        <v>198</v>
      </c>
      <c r="C123" s="98" t="s">
        <v>159</v>
      </c>
      <c r="D123" s="103" t="s">
        <v>195</v>
      </c>
      <c r="E123" s="103" t="s">
        <v>196</v>
      </c>
      <c r="F123" s="100" t="s">
        <v>193</v>
      </c>
      <c r="G123" s="101" t="s">
        <v>194</v>
      </c>
      <c r="H123" s="100"/>
      <c r="I123" s="114"/>
      <c r="J123" s="114"/>
      <c r="K123" s="115"/>
      <c r="L123" s="115"/>
      <c r="M123" s="115"/>
      <c r="N123" s="115"/>
      <c r="O123" s="115"/>
      <c r="R123" s="109"/>
      <c r="S123" s="106"/>
      <c r="T123" s="106"/>
    </row>
    <row r="124" spans="1:20" ht="79.2" x14ac:dyDescent="0.3">
      <c r="A124" s="98"/>
      <c r="B124" s="102" t="s">
        <v>199</v>
      </c>
      <c r="C124" s="98" t="s">
        <v>200</v>
      </c>
      <c r="D124" s="103" t="s">
        <v>195</v>
      </c>
      <c r="E124" s="103" t="s">
        <v>196</v>
      </c>
      <c r="F124" s="100" t="s">
        <v>193</v>
      </c>
      <c r="G124" s="101" t="s">
        <v>183</v>
      </c>
      <c r="H124" s="100"/>
      <c r="I124" s="114"/>
      <c r="J124" s="114"/>
      <c r="K124" s="115"/>
      <c r="L124" s="115"/>
      <c r="M124" s="115"/>
      <c r="N124" s="115"/>
      <c r="O124" s="115"/>
      <c r="R124" s="116"/>
      <c r="S124" s="106"/>
      <c r="T124" s="106"/>
    </row>
    <row r="125" spans="1:20" ht="41.4" x14ac:dyDescent="0.3">
      <c r="A125" s="98"/>
      <c r="B125" s="102" t="s">
        <v>201</v>
      </c>
      <c r="C125" s="98" t="s">
        <v>159</v>
      </c>
      <c r="D125" s="103" t="s">
        <v>195</v>
      </c>
      <c r="E125" s="103" t="s">
        <v>196</v>
      </c>
      <c r="F125" s="100" t="s">
        <v>193</v>
      </c>
      <c r="G125" s="101" t="s">
        <v>194</v>
      </c>
      <c r="H125" s="100"/>
      <c r="I125" s="114"/>
      <c r="J125" s="114"/>
      <c r="K125" s="115"/>
      <c r="L125" s="115"/>
      <c r="M125" s="115"/>
      <c r="N125" s="115"/>
      <c r="O125" s="115"/>
      <c r="R125" s="109"/>
      <c r="S125" s="106"/>
      <c r="T125" s="106"/>
    </row>
    <row r="126" spans="1:20" ht="41.4" x14ac:dyDescent="0.3">
      <c r="A126" s="98"/>
      <c r="B126" s="102" t="s">
        <v>202</v>
      </c>
      <c r="C126" s="98" t="s">
        <v>203</v>
      </c>
      <c r="D126" s="103" t="s">
        <v>195</v>
      </c>
      <c r="E126" s="103" t="s">
        <v>196</v>
      </c>
      <c r="F126" s="100" t="s">
        <v>193</v>
      </c>
      <c r="G126" s="101" t="s">
        <v>194</v>
      </c>
      <c r="H126" s="100"/>
      <c r="I126" s="114"/>
      <c r="J126" s="114"/>
      <c r="K126" s="115"/>
      <c r="L126" s="115"/>
      <c r="M126" s="115"/>
      <c r="N126" s="115"/>
      <c r="O126" s="115"/>
      <c r="R126" s="109"/>
      <c r="S126" s="106"/>
      <c r="T126" s="106"/>
    </row>
    <row r="127" spans="1:20" ht="39.6" x14ac:dyDescent="0.3">
      <c r="A127" s="98"/>
      <c r="B127" s="102" t="s">
        <v>204</v>
      </c>
      <c r="C127" s="89" t="s">
        <v>205</v>
      </c>
      <c r="D127" s="103" t="s">
        <v>206</v>
      </c>
      <c r="E127" s="103" t="s">
        <v>207</v>
      </c>
      <c r="F127" s="100" t="s">
        <v>193</v>
      </c>
      <c r="G127" s="101" t="s">
        <v>194</v>
      </c>
      <c r="H127" s="100"/>
      <c r="I127" s="114"/>
      <c r="J127" s="114"/>
      <c r="K127" s="115"/>
      <c r="L127" s="115"/>
      <c r="M127" s="115"/>
      <c r="N127" s="115"/>
      <c r="O127" s="115"/>
      <c r="R127" s="109"/>
      <c r="S127" s="106"/>
      <c r="T127" s="106"/>
    </row>
    <row r="128" spans="1:20" ht="39.6" x14ac:dyDescent="0.3">
      <c r="A128" s="98"/>
      <c r="B128" s="102" t="s">
        <v>208</v>
      </c>
      <c r="C128" s="89" t="s">
        <v>209</v>
      </c>
      <c r="D128" s="103" t="s">
        <v>206</v>
      </c>
      <c r="E128" s="103" t="s">
        <v>207</v>
      </c>
      <c r="F128" s="100" t="s">
        <v>193</v>
      </c>
      <c r="G128" s="101" t="s">
        <v>194</v>
      </c>
      <c r="H128" s="100"/>
      <c r="I128" s="114"/>
      <c r="J128" s="114"/>
      <c r="K128" s="115"/>
      <c r="L128" s="115"/>
      <c r="M128" s="115"/>
      <c r="N128" s="115"/>
      <c r="O128" s="115"/>
      <c r="R128" s="109"/>
      <c r="S128" s="106"/>
      <c r="T128" s="106"/>
    </row>
    <row r="129" spans="1:20" ht="39.6" x14ac:dyDescent="0.3">
      <c r="A129" s="98"/>
      <c r="B129" s="102" t="s">
        <v>210</v>
      </c>
      <c r="C129" s="89" t="s">
        <v>211</v>
      </c>
      <c r="D129" s="103" t="s">
        <v>206</v>
      </c>
      <c r="E129" s="103" t="s">
        <v>207</v>
      </c>
      <c r="F129" s="100" t="s">
        <v>193</v>
      </c>
      <c r="G129" s="101" t="s">
        <v>194</v>
      </c>
      <c r="H129" s="100"/>
      <c r="I129" s="114"/>
      <c r="J129" s="114"/>
      <c r="K129" s="115"/>
      <c r="L129" s="115"/>
      <c r="M129" s="115"/>
      <c r="N129" s="115"/>
      <c r="O129" s="115"/>
      <c r="R129" s="109"/>
      <c r="S129" s="106"/>
      <c r="T129" s="106"/>
    </row>
    <row r="130" spans="1:20" ht="39.6" x14ac:dyDescent="0.3">
      <c r="A130" s="98"/>
      <c r="B130" s="102" t="s">
        <v>212</v>
      </c>
      <c r="C130" s="89" t="s">
        <v>159</v>
      </c>
      <c r="D130" s="103" t="s">
        <v>206</v>
      </c>
      <c r="E130" s="103" t="s">
        <v>207</v>
      </c>
      <c r="F130" s="100" t="s">
        <v>193</v>
      </c>
      <c r="G130" s="101" t="s">
        <v>194</v>
      </c>
      <c r="H130" s="100"/>
      <c r="I130" s="114"/>
      <c r="J130" s="114"/>
      <c r="K130" s="115"/>
      <c r="L130" s="115"/>
      <c r="M130" s="115"/>
      <c r="N130" s="115"/>
      <c r="O130" s="115"/>
      <c r="R130" s="109"/>
      <c r="S130" s="106"/>
      <c r="T130" s="106"/>
    </row>
    <row r="131" spans="1:20" ht="39.6" x14ac:dyDescent="0.3">
      <c r="A131" s="98"/>
      <c r="B131" s="102" t="s">
        <v>213</v>
      </c>
      <c r="C131" s="89" t="s">
        <v>214</v>
      </c>
      <c r="D131" s="103" t="s">
        <v>206</v>
      </c>
      <c r="E131" s="103" t="s">
        <v>207</v>
      </c>
      <c r="F131" s="100" t="s">
        <v>193</v>
      </c>
      <c r="G131" s="101" t="s">
        <v>194</v>
      </c>
      <c r="H131" s="100"/>
      <c r="I131" s="114"/>
      <c r="J131" s="114"/>
      <c r="K131" s="115"/>
      <c r="L131" s="115"/>
      <c r="M131" s="115"/>
      <c r="N131" s="115"/>
      <c r="O131" s="115"/>
      <c r="R131" s="116"/>
      <c r="S131" s="106"/>
      <c r="T131" s="106"/>
    </row>
    <row r="132" spans="1:20" ht="82.8" x14ac:dyDescent="0.3">
      <c r="A132" s="98"/>
      <c r="B132" s="102" t="s">
        <v>215</v>
      </c>
      <c r="C132" s="89" t="s">
        <v>216</v>
      </c>
      <c r="D132" s="103" t="s">
        <v>217</v>
      </c>
      <c r="E132" s="103" t="s">
        <v>218</v>
      </c>
      <c r="F132" s="100" t="s">
        <v>193</v>
      </c>
      <c r="G132" s="101" t="s">
        <v>194</v>
      </c>
      <c r="H132" s="100"/>
      <c r="I132" s="114"/>
      <c r="J132" s="114"/>
      <c r="K132" s="115"/>
      <c r="L132" s="115"/>
      <c r="M132" s="115"/>
      <c r="N132" s="115"/>
      <c r="O132" s="115"/>
      <c r="R132" s="109"/>
      <c r="S132" s="106"/>
      <c r="T132" s="106"/>
    </row>
    <row r="133" spans="1:20" ht="82.8" x14ac:dyDescent="0.3">
      <c r="A133" s="98"/>
      <c r="B133" s="102" t="s">
        <v>219</v>
      </c>
      <c r="C133" s="89" t="s">
        <v>220</v>
      </c>
      <c r="D133" s="103" t="s">
        <v>217</v>
      </c>
      <c r="E133" s="103" t="s">
        <v>218</v>
      </c>
      <c r="F133" s="100" t="s">
        <v>193</v>
      </c>
      <c r="G133" s="101" t="s">
        <v>194</v>
      </c>
      <c r="H133" s="100"/>
      <c r="I133" s="114"/>
      <c r="J133" s="114"/>
      <c r="K133" s="115"/>
      <c r="L133" s="115"/>
      <c r="M133" s="115"/>
      <c r="N133" s="115"/>
      <c r="O133" s="115"/>
      <c r="R133" s="109"/>
      <c r="S133" s="106"/>
      <c r="T133" s="106"/>
    </row>
    <row r="134" spans="1:20" ht="39.6" x14ac:dyDescent="0.3">
      <c r="A134" s="98"/>
      <c r="B134" s="102" t="s">
        <v>221</v>
      </c>
      <c r="C134" s="89" t="s">
        <v>200</v>
      </c>
      <c r="D134" s="103" t="s">
        <v>206</v>
      </c>
      <c r="E134" s="103" t="s">
        <v>207</v>
      </c>
      <c r="F134" s="100" t="s">
        <v>193</v>
      </c>
      <c r="G134" s="101" t="s">
        <v>194</v>
      </c>
      <c r="H134" s="100"/>
      <c r="I134" s="114"/>
      <c r="J134" s="114"/>
      <c r="K134" s="115"/>
      <c r="L134" s="115"/>
      <c r="M134" s="115"/>
      <c r="N134" s="115"/>
      <c r="O134" s="115"/>
      <c r="R134" s="109"/>
      <c r="S134" s="106"/>
      <c r="T134" s="106"/>
    </row>
    <row r="135" spans="1:20" ht="82.8" x14ac:dyDescent="0.3">
      <c r="A135" s="98"/>
      <c r="B135" s="102" t="s">
        <v>222</v>
      </c>
      <c r="C135" s="89" t="s">
        <v>223</v>
      </c>
      <c r="D135" s="103" t="s">
        <v>224</v>
      </c>
      <c r="E135" s="103" t="s">
        <v>225</v>
      </c>
      <c r="F135" s="100" t="s">
        <v>193</v>
      </c>
      <c r="G135" s="101" t="s">
        <v>194</v>
      </c>
      <c r="H135" s="100"/>
      <c r="I135" s="114"/>
      <c r="J135" s="114"/>
      <c r="K135" s="115"/>
      <c r="L135" s="115"/>
      <c r="M135" s="115"/>
      <c r="N135" s="115"/>
      <c r="O135" s="115"/>
      <c r="R135" s="109"/>
      <c r="S135" s="106"/>
      <c r="T135" s="106"/>
    </row>
    <row r="136" spans="1:20" ht="39.6" x14ac:dyDescent="0.3">
      <c r="A136" s="98"/>
      <c r="B136" s="102" t="s">
        <v>226</v>
      </c>
      <c r="C136" s="89" t="s">
        <v>227</v>
      </c>
      <c r="D136" s="103" t="s">
        <v>228</v>
      </c>
      <c r="E136" s="103" t="s">
        <v>229</v>
      </c>
      <c r="F136" s="100" t="s">
        <v>193</v>
      </c>
      <c r="G136" s="101" t="s">
        <v>194</v>
      </c>
      <c r="H136" s="100"/>
      <c r="I136" s="114"/>
      <c r="J136" s="114"/>
      <c r="K136" s="115"/>
      <c r="L136" s="115"/>
      <c r="M136" s="115"/>
      <c r="N136" s="115"/>
      <c r="O136" s="115"/>
      <c r="R136" s="109"/>
      <c r="S136" s="106"/>
      <c r="T136" s="106"/>
    </row>
    <row r="137" spans="1:20" ht="39.6" x14ac:dyDescent="0.3">
      <c r="A137" s="98"/>
      <c r="B137" s="102" t="s">
        <v>230</v>
      </c>
      <c r="C137" s="89" t="s">
        <v>231</v>
      </c>
      <c r="D137" s="103" t="s">
        <v>232</v>
      </c>
      <c r="E137" s="103" t="s">
        <v>233</v>
      </c>
      <c r="F137" s="100" t="s">
        <v>193</v>
      </c>
      <c r="G137" s="101" t="s">
        <v>194</v>
      </c>
      <c r="H137" s="100"/>
      <c r="I137" s="114"/>
      <c r="J137" s="114"/>
      <c r="K137" s="115"/>
      <c r="L137" s="115"/>
      <c r="M137" s="115"/>
      <c r="N137" s="115"/>
      <c r="O137" s="115"/>
    </row>
    <row r="138" spans="1:20" ht="39.6" x14ac:dyDescent="0.3">
      <c r="A138" s="98"/>
      <c r="B138" s="102" t="s">
        <v>234</v>
      </c>
      <c r="C138" s="89" t="s">
        <v>235</v>
      </c>
      <c r="D138" s="103" t="s">
        <v>232</v>
      </c>
      <c r="E138" s="103" t="s">
        <v>233</v>
      </c>
      <c r="F138" s="100" t="s">
        <v>193</v>
      </c>
      <c r="G138" s="101" t="s">
        <v>194</v>
      </c>
      <c r="H138" s="100"/>
      <c r="I138" s="114"/>
      <c r="J138" s="114"/>
      <c r="K138" s="115"/>
      <c r="L138" s="115"/>
      <c r="M138" s="115"/>
      <c r="N138" s="115"/>
      <c r="O138" s="115"/>
    </row>
    <row r="139" spans="1:20" ht="41.4" x14ac:dyDescent="0.3">
      <c r="A139" s="98"/>
      <c r="B139" s="102" t="s">
        <v>236</v>
      </c>
      <c r="C139" s="89" t="s">
        <v>159</v>
      </c>
      <c r="D139" s="103" t="s">
        <v>195</v>
      </c>
      <c r="E139" s="103" t="s">
        <v>237</v>
      </c>
      <c r="F139" s="100" t="s">
        <v>193</v>
      </c>
      <c r="G139" s="101" t="s">
        <v>194</v>
      </c>
      <c r="H139" s="100"/>
      <c r="I139" s="114"/>
      <c r="J139" s="114"/>
      <c r="K139" s="115"/>
      <c r="L139" s="115"/>
      <c r="M139" s="115"/>
      <c r="N139" s="115"/>
      <c r="O139" s="115"/>
    </row>
    <row r="140" spans="1:20" ht="41.4" x14ac:dyDescent="0.3">
      <c r="A140" s="98"/>
      <c r="B140" s="102" t="s">
        <v>238</v>
      </c>
      <c r="C140" s="89" t="s">
        <v>159</v>
      </c>
      <c r="D140" s="103" t="s">
        <v>195</v>
      </c>
      <c r="E140" s="103" t="s">
        <v>237</v>
      </c>
      <c r="F140" s="100" t="s">
        <v>193</v>
      </c>
      <c r="G140" s="101" t="s">
        <v>194</v>
      </c>
      <c r="H140" s="100"/>
      <c r="I140" s="114"/>
      <c r="J140" s="114"/>
      <c r="K140" s="115"/>
      <c r="L140" s="115"/>
      <c r="M140" s="115"/>
      <c r="N140" s="115"/>
      <c r="O140" s="115"/>
    </row>
    <row r="141" spans="1:20" ht="39.6" x14ac:dyDescent="0.3">
      <c r="A141" s="98"/>
      <c r="B141" s="102" t="s">
        <v>239</v>
      </c>
      <c r="C141" s="89" t="s">
        <v>240</v>
      </c>
      <c r="D141" s="103" t="s">
        <v>206</v>
      </c>
      <c r="E141" s="103" t="s">
        <v>241</v>
      </c>
      <c r="F141" s="100" t="s">
        <v>193</v>
      </c>
      <c r="G141" s="101" t="s">
        <v>194</v>
      </c>
      <c r="H141" s="100"/>
      <c r="I141" s="114"/>
      <c r="J141" s="114"/>
      <c r="K141" s="115"/>
      <c r="L141" s="115"/>
      <c r="M141" s="115"/>
      <c r="N141" s="115"/>
      <c r="O141" s="115"/>
    </row>
    <row r="142" spans="1:20" ht="39.6" x14ac:dyDescent="0.3">
      <c r="A142" s="98"/>
      <c r="B142" s="102" t="s">
        <v>242</v>
      </c>
      <c r="C142" s="89" t="s">
        <v>243</v>
      </c>
      <c r="D142" s="100" t="s">
        <v>244</v>
      </c>
      <c r="E142" s="100" t="s">
        <v>245</v>
      </c>
      <c r="F142" s="100" t="s">
        <v>193</v>
      </c>
      <c r="G142" s="101" t="s">
        <v>194</v>
      </c>
      <c r="H142" s="100"/>
      <c r="I142" s="114"/>
      <c r="J142" s="114"/>
      <c r="K142" s="115"/>
      <c r="L142" s="115"/>
      <c r="M142" s="115"/>
      <c r="N142" s="115"/>
      <c r="O142" s="115"/>
    </row>
    <row r="143" spans="1:20" ht="66" x14ac:dyDescent="0.3">
      <c r="A143" s="117"/>
      <c r="B143" s="86" t="s">
        <v>246</v>
      </c>
      <c r="C143" s="89" t="s">
        <v>159</v>
      </c>
      <c r="D143" s="101" t="s">
        <v>176</v>
      </c>
      <c r="E143" s="100" t="s">
        <v>177</v>
      </c>
      <c r="F143" s="100" t="s">
        <v>193</v>
      </c>
      <c r="G143" s="101" t="s">
        <v>194</v>
      </c>
      <c r="H143" s="118"/>
      <c r="I143" s="114"/>
      <c r="J143" s="114"/>
      <c r="K143" s="119"/>
      <c r="L143" s="119"/>
      <c r="M143" s="119"/>
      <c r="N143" s="119"/>
      <c r="O143" s="119"/>
    </row>
    <row r="144" spans="1:20" ht="41.4" x14ac:dyDescent="0.3">
      <c r="A144" s="117"/>
      <c r="B144" s="86" t="s">
        <v>247</v>
      </c>
      <c r="C144" s="89" t="s">
        <v>248</v>
      </c>
      <c r="D144" s="103" t="s">
        <v>195</v>
      </c>
      <c r="E144" s="103" t="s">
        <v>249</v>
      </c>
      <c r="F144" s="100" t="s">
        <v>193</v>
      </c>
      <c r="G144" s="101" t="s">
        <v>194</v>
      </c>
      <c r="H144" s="118"/>
      <c r="I144" s="114"/>
      <c r="J144" s="114"/>
      <c r="K144" s="115"/>
      <c r="L144" s="115"/>
      <c r="M144" s="115"/>
      <c r="N144" s="115"/>
      <c r="O144" s="115"/>
    </row>
    <row r="145" spans="1:15" ht="41.4" x14ac:dyDescent="0.3">
      <c r="A145" s="117"/>
      <c r="B145" s="86" t="s">
        <v>250</v>
      </c>
      <c r="C145" s="89" t="s">
        <v>240</v>
      </c>
      <c r="D145" s="103" t="s">
        <v>195</v>
      </c>
      <c r="E145" s="103" t="s">
        <v>249</v>
      </c>
      <c r="F145" s="100" t="s">
        <v>193</v>
      </c>
      <c r="G145" s="101" t="s">
        <v>194</v>
      </c>
      <c r="H145" s="118"/>
      <c r="I145" s="114"/>
      <c r="J145" s="114"/>
      <c r="K145" s="115"/>
      <c r="L145" s="115"/>
      <c r="M145" s="115"/>
      <c r="N145" s="115"/>
      <c r="O145" s="115"/>
    </row>
    <row r="146" spans="1:15" ht="41.4" x14ac:dyDescent="0.3">
      <c r="A146" s="117"/>
      <c r="B146" s="86" t="s">
        <v>251</v>
      </c>
      <c r="C146" s="89" t="s">
        <v>240</v>
      </c>
      <c r="D146" s="103" t="s">
        <v>195</v>
      </c>
      <c r="E146" s="103" t="s">
        <v>249</v>
      </c>
      <c r="F146" s="100" t="s">
        <v>193</v>
      </c>
      <c r="G146" s="101" t="s">
        <v>194</v>
      </c>
      <c r="H146" s="118"/>
      <c r="I146" s="114"/>
      <c r="J146" s="114"/>
      <c r="K146" s="115"/>
      <c r="L146" s="115"/>
      <c r="M146" s="115"/>
      <c r="N146" s="115"/>
      <c r="O146" s="115"/>
    </row>
    <row r="147" spans="1:15" ht="41.4" x14ac:dyDescent="0.3">
      <c r="A147" s="117"/>
      <c r="B147" s="86" t="s">
        <v>252</v>
      </c>
      <c r="C147" s="89" t="s">
        <v>240</v>
      </c>
      <c r="D147" s="103" t="s">
        <v>195</v>
      </c>
      <c r="E147" s="103" t="s">
        <v>249</v>
      </c>
      <c r="F147" s="100" t="s">
        <v>193</v>
      </c>
      <c r="G147" s="101" t="s">
        <v>194</v>
      </c>
      <c r="H147" s="118"/>
      <c r="I147" s="114"/>
      <c r="J147" s="114"/>
      <c r="K147" s="115"/>
      <c r="L147" s="115"/>
      <c r="M147" s="115"/>
      <c r="N147" s="115"/>
      <c r="O147" s="115"/>
    </row>
    <row r="148" spans="1:15" ht="41.4" x14ac:dyDescent="0.3">
      <c r="A148" s="117"/>
      <c r="B148" s="86" t="s">
        <v>253</v>
      </c>
      <c r="C148" s="89" t="s">
        <v>240</v>
      </c>
      <c r="D148" s="103" t="s">
        <v>195</v>
      </c>
      <c r="E148" s="103" t="s">
        <v>249</v>
      </c>
      <c r="F148" s="100" t="s">
        <v>193</v>
      </c>
      <c r="G148" s="101" t="s">
        <v>194</v>
      </c>
      <c r="H148" s="118"/>
      <c r="I148" s="114"/>
      <c r="J148" s="114"/>
      <c r="K148" s="115"/>
      <c r="L148" s="115"/>
      <c r="M148" s="115"/>
      <c r="N148" s="115"/>
      <c r="O148" s="115"/>
    </row>
    <row r="149" spans="1:15" ht="41.4" x14ac:dyDescent="0.3">
      <c r="A149" s="117"/>
      <c r="B149" s="86" t="s">
        <v>254</v>
      </c>
      <c r="C149" s="89" t="s">
        <v>255</v>
      </c>
      <c r="D149" s="103" t="s">
        <v>195</v>
      </c>
      <c r="E149" s="103" t="s">
        <v>249</v>
      </c>
      <c r="F149" s="100" t="s">
        <v>193</v>
      </c>
      <c r="G149" s="101" t="s">
        <v>194</v>
      </c>
      <c r="H149" s="118"/>
      <c r="I149" s="114"/>
      <c r="J149" s="114"/>
      <c r="K149" s="115"/>
      <c r="L149" s="115"/>
      <c r="M149" s="115"/>
      <c r="N149" s="115"/>
      <c r="O149" s="115"/>
    </row>
    <row r="150" spans="1:15" ht="39.6" x14ac:dyDescent="0.3">
      <c r="A150" s="117"/>
      <c r="B150" s="86" t="s">
        <v>256</v>
      </c>
      <c r="C150" s="89" t="s">
        <v>248</v>
      </c>
      <c r="D150" s="103" t="s">
        <v>206</v>
      </c>
      <c r="E150" s="103" t="s">
        <v>241</v>
      </c>
      <c r="F150" s="100" t="s">
        <v>193</v>
      </c>
      <c r="G150" s="101" t="s">
        <v>194</v>
      </c>
      <c r="H150" s="118"/>
      <c r="I150" s="114"/>
      <c r="J150" s="114"/>
      <c r="K150" s="115"/>
      <c r="L150" s="115"/>
      <c r="M150" s="115"/>
      <c r="N150" s="115"/>
      <c r="O150" s="115"/>
    </row>
    <row r="151" spans="1:15" ht="39.6" x14ac:dyDescent="0.3">
      <c r="A151" s="117"/>
      <c r="B151" s="86" t="s">
        <v>257</v>
      </c>
      <c r="C151" s="89" t="s">
        <v>258</v>
      </c>
      <c r="D151" s="103" t="s">
        <v>206</v>
      </c>
      <c r="E151" s="103" t="s">
        <v>241</v>
      </c>
      <c r="F151" s="100" t="s">
        <v>193</v>
      </c>
      <c r="G151" s="101" t="s">
        <v>194</v>
      </c>
      <c r="H151" s="118"/>
      <c r="I151" s="114"/>
      <c r="J151" s="114"/>
      <c r="K151" s="115"/>
      <c r="L151" s="115"/>
      <c r="M151" s="115"/>
      <c r="N151" s="115"/>
      <c r="O151" s="115"/>
    </row>
    <row r="152" spans="1:15" ht="41.4" x14ac:dyDescent="0.3">
      <c r="A152" s="117"/>
      <c r="B152" s="86" t="s">
        <v>259</v>
      </c>
      <c r="C152" s="89" t="s">
        <v>260</v>
      </c>
      <c r="D152" s="103" t="s">
        <v>206</v>
      </c>
      <c r="E152" s="103" t="s">
        <v>241</v>
      </c>
      <c r="F152" s="100" t="s">
        <v>193</v>
      </c>
      <c r="G152" s="101" t="s">
        <v>194</v>
      </c>
      <c r="H152" s="118"/>
      <c r="I152" s="114"/>
      <c r="J152" s="114"/>
      <c r="K152" s="115"/>
      <c r="L152" s="115"/>
      <c r="M152" s="115"/>
      <c r="N152" s="115"/>
      <c r="O152" s="115"/>
    </row>
    <row r="153" spans="1:15" ht="39.6" x14ac:dyDescent="0.3">
      <c r="A153" s="117"/>
      <c r="B153" s="86" t="s">
        <v>261</v>
      </c>
      <c r="C153" s="89" t="s">
        <v>262</v>
      </c>
      <c r="D153" s="103" t="s">
        <v>206</v>
      </c>
      <c r="E153" s="103" t="s">
        <v>241</v>
      </c>
      <c r="F153" s="100" t="s">
        <v>193</v>
      </c>
      <c r="G153" s="101" t="s">
        <v>194</v>
      </c>
      <c r="H153" s="118"/>
      <c r="I153" s="114"/>
      <c r="J153" s="114"/>
      <c r="K153" s="115"/>
      <c r="L153" s="115"/>
      <c r="M153" s="115"/>
      <c r="N153" s="115"/>
      <c r="O153" s="115"/>
    </row>
    <row r="154" spans="1:15" ht="41.4" x14ac:dyDescent="0.3">
      <c r="B154" s="86" t="s">
        <v>263</v>
      </c>
      <c r="C154" s="89" t="s">
        <v>240</v>
      </c>
      <c r="D154" s="103" t="s">
        <v>195</v>
      </c>
      <c r="E154" s="103" t="s">
        <v>249</v>
      </c>
      <c r="F154" s="100" t="s">
        <v>193</v>
      </c>
      <c r="G154" s="101" t="s">
        <v>194</v>
      </c>
    </row>
    <row r="155" spans="1:15" ht="41.4" x14ac:dyDescent="0.3">
      <c r="B155" s="102" t="s">
        <v>264</v>
      </c>
      <c r="C155" s="89" t="s">
        <v>265</v>
      </c>
      <c r="D155" s="103" t="s">
        <v>195</v>
      </c>
      <c r="E155" s="103" t="s">
        <v>249</v>
      </c>
      <c r="F155" s="100" t="s">
        <v>193</v>
      </c>
      <c r="G155" s="101" t="s">
        <v>194</v>
      </c>
    </row>
    <row r="156" spans="1:15" ht="41.4" x14ac:dyDescent="0.3">
      <c r="B156" s="102" t="s">
        <v>264</v>
      </c>
      <c r="C156" s="89" t="s">
        <v>266</v>
      </c>
      <c r="D156" s="103" t="s">
        <v>195</v>
      </c>
      <c r="E156" s="103" t="s">
        <v>249</v>
      </c>
      <c r="F156" s="100" t="s">
        <v>193</v>
      </c>
      <c r="G156" s="101" t="s">
        <v>194</v>
      </c>
    </row>
    <row r="158" spans="1:15" ht="79.2" x14ac:dyDescent="0.3">
      <c r="B158" s="99" t="s">
        <v>174</v>
      </c>
      <c r="C158" s="98" t="s">
        <v>142</v>
      </c>
      <c r="D158" s="98" t="s">
        <v>175</v>
      </c>
      <c r="E158" s="98" t="s">
        <v>354</v>
      </c>
    </row>
    <row r="159" spans="1:15" ht="26.4" x14ac:dyDescent="0.3">
      <c r="B159" s="99" t="s">
        <v>410</v>
      </c>
      <c r="C159" s="98" t="s">
        <v>327</v>
      </c>
      <c r="D159" s="98" t="s">
        <v>405</v>
      </c>
      <c r="E159" s="98" t="s">
        <v>406</v>
      </c>
    </row>
    <row r="160" spans="1:15" ht="27.6" x14ac:dyDescent="0.3">
      <c r="B160" s="99" t="s">
        <v>411</v>
      </c>
      <c r="C160" s="98" t="s">
        <v>412</v>
      </c>
      <c r="D160" s="103" t="s">
        <v>206</v>
      </c>
      <c r="E160" s="103" t="s">
        <v>207</v>
      </c>
    </row>
    <row r="161" spans="2:5" ht="27.6" x14ac:dyDescent="0.3">
      <c r="B161" s="99" t="s">
        <v>413</v>
      </c>
      <c r="C161" s="98" t="s">
        <v>414</v>
      </c>
      <c r="D161" s="103" t="s">
        <v>228</v>
      </c>
      <c r="E161" s="103" t="s">
        <v>229</v>
      </c>
    </row>
    <row r="162" spans="2:5" ht="82.8" x14ac:dyDescent="0.3">
      <c r="B162" s="99" t="s">
        <v>415</v>
      </c>
      <c r="C162" s="98" t="s">
        <v>416</v>
      </c>
      <c r="D162" s="103" t="s">
        <v>224</v>
      </c>
      <c r="E162" s="103" t="s">
        <v>225</v>
      </c>
    </row>
    <row r="163" spans="2:5" ht="66" x14ac:dyDescent="0.3">
      <c r="B163" s="99" t="s">
        <v>417</v>
      </c>
      <c r="C163" s="98" t="s">
        <v>418</v>
      </c>
      <c r="D163" s="98" t="s">
        <v>217</v>
      </c>
      <c r="E163" s="98" t="s">
        <v>290</v>
      </c>
    </row>
    <row r="164" spans="2:5" ht="66" x14ac:dyDescent="0.3">
      <c r="B164" s="99" t="s">
        <v>419</v>
      </c>
      <c r="C164" s="98" t="s">
        <v>299</v>
      </c>
      <c r="D164" s="98" t="s">
        <v>217</v>
      </c>
      <c r="E164" s="98" t="s">
        <v>290</v>
      </c>
    </row>
    <row r="165" spans="2:5" ht="66" x14ac:dyDescent="0.3">
      <c r="B165" s="99" t="s">
        <v>420</v>
      </c>
      <c r="C165" s="98" t="s">
        <v>421</v>
      </c>
      <c r="D165" s="103" t="s">
        <v>217</v>
      </c>
      <c r="E165" s="98" t="s">
        <v>290</v>
      </c>
    </row>
    <row r="166" spans="2:5" ht="41.4" x14ac:dyDescent="0.3">
      <c r="B166" s="99" t="s">
        <v>422</v>
      </c>
      <c r="C166" s="98" t="s">
        <v>276</v>
      </c>
      <c r="D166" s="103" t="s">
        <v>195</v>
      </c>
      <c r="E166" s="103" t="s">
        <v>196</v>
      </c>
    </row>
    <row r="167" spans="2:5" ht="41.4" x14ac:dyDescent="0.3">
      <c r="B167" s="145" t="s">
        <v>423</v>
      </c>
      <c r="C167" s="100" t="s">
        <v>159</v>
      </c>
      <c r="D167" s="103" t="s">
        <v>195</v>
      </c>
      <c r="E167" s="103" t="s">
        <v>196</v>
      </c>
    </row>
    <row r="168" spans="2:5" ht="27.6" x14ac:dyDescent="0.3">
      <c r="B168" s="99" t="s">
        <v>424</v>
      </c>
      <c r="C168" s="98" t="s">
        <v>334</v>
      </c>
      <c r="D168" s="98" t="s">
        <v>244</v>
      </c>
      <c r="E168" s="98" t="s">
        <v>245</v>
      </c>
    </row>
    <row r="169" spans="2:5" ht="41.4" x14ac:dyDescent="0.3">
      <c r="B169" s="102" t="s">
        <v>425</v>
      </c>
      <c r="C169" s="98" t="s">
        <v>426</v>
      </c>
      <c r="D169" s="103" t="s">
        <v>477</v>
      </c>
      <c r="E169" s="103" t="s">
        <v>478</v>
      </c>
    </row>
    <row r="170" spans="2:5" ht="55.2" x14ac:dyDescent="0.3">
      <c r="B170" s="102" t="s">
        <v>427</v>
      </c>
      <c r="C170" s="98" t="s">
        <v>428</v>
      </c>
      <c r="D170" s="103" t="s">
        <v>408</v>
      </c>
      <c r="E170" s="103" t="s">
        <v>409</v>
      </c>
    </row>
    <row r="171" spans="2:5" ht="69" x14ac:dyDescent="0.3">
      <c r="B171" s="102" t="s">
        <v>429</v>
      </c>
      <c r="C171" s="98" t="s">
        <v>430</v>
      </c>
      <c r="D171" s="103" t="s">
        <v>156</v>
      </c>
      <c r="E171" s="103" t="s">
        <v>157</v>
      </c>
    </row>
    <row r="172" spans="2:5" ht="69" x14ac:dyDescent="0.3">
      <c r="B172" s="102" t="s">
        <v>431</v>
      </c>
      <c r="C172" s="98" t="s">
        <v>325</v>
      </c>
      <c r="D172" s="103" t="s">
        <v>156</v>
      </c>
      <c r="E172" s="103" t="s">
        <v>157</v>
      </c>
    </row>
    <row r="173" spans="2:5" ht="82.8" x14ac:dyDescent="0.3">
      <c r="B173" s="102" t="s">
        <v>432</v>
      </c>
      <c r="C173" s="98" t="s">
        <v>433</v>
      </c>
      <c r="D173" s="103" t="s">
        <v>162</v>
      </c>
      <c r="E173" s="103" t="s">
        <v>407</v>
      </c>
    </row>
    <row r="174" spans="2:5" ht="82.8" x14ac:dyDescent="0.3">
      <c r="B174" s="102" t="s">
        <v>434</v>
      </c>
      <c r="C174" s="98" t="s">
        <v>435</v>
      </c>
      <c r="D174" s="103" t="s">
        <v>162</v>
      </c>
      <c r="E174" s="103" t="s">
        <v>407</v>
      </c>
    </row>
    <row r="175" spans="2:5" x14ac:dyDescent="0.3">
      <c r="B175" s="102" t="s">
        <v>436</v>
      </c>
      <c r="C175" s="89" t="s">
        <v>437</v>
      </c>
      <c r="D175" s="103" t="s">
        <v>206</v>
      </c>
      <c r="E175" s="103" t="s">
        <v>207</v>
      </c>
    </row>
    <row r="176" spans="2:5" ht="27.6" x14ac:dyDescent="0.3">
      <c r="B176" s="102" t="s">
        <v>438</v>
      </c>
      <c r="C176" s="89" t="s">
        <v>439</v>
      </c>
      <c r="D176" s="103" t="s">
        <v>206</v>
      </c>
      <c r="E176" s="103" t="s">
        <v>207</v>
      </c>
    </row>
    <row r="177" spans="2:5" x14ac:dyDescent="0.3">
      <c r="B177" s="102" t="s">
        <v>440</v>
      </c>
      <c r="C177" s="89" t="s">
        <v>441</v>
      </c>
      <c r="D177" s="103" t="s">
        <v>206</v>
      </c>
      <c r="E177" s="103" t="s">
        <v>207</v>
      </c>
    </row>
    <row r="178" spans="2:5" ht="27.6" x14ac:dyDescent="0.3">
      <c r="B178" s="102" t="s">
        <v>442</v>
      </c>
      <c r="C178" s="89" t="s">
        <v>443</v>
      </c>
      <c r="D178" s="103" t="s">
        <v>206</v>
      </c>
      <c r="E178" s="103" t="s">
        <v>207</v>
      </c>
    </row>
    <row r="179" spans="2:5" ht="27.6" x14ac:dyDescent="0.3">
      <c r="B179" s="102" t="s">
        <v>413</v>
      </c>
      <c r="C179" s="89" t="s">
        <v>444</v>
      </c>
      <c r="D179" s="103" t="s">
        <v>228</v>
      </c>
      <c r="E179" s="103" t="s">
        <v>229</v>
      </c>
    </row>
    <row r="180" spans="2:5" ht="27.6" x14ac:dyDescent="0.3">
      <c r="B180" s="102" t="s">
        <v>445</v>
      </c>
      <c r="C180" s="89" t="s">
        <v>446</v>
      </c>
      <c r="D180" s="103" t="s">
        <v>269</v>
      </c>
      <c r="E180" s="103" t="s">
        <v>480</v>
      </c>
    </row>
    <row r="181" spans="2:5" ht="41.4" x14ac:dyDescent="0.3">
      <c r="B181" s="102" t="s">
        <v>447</v>
      </c>
      <c r="C181" s="89" t="s">
        <v>448</v>
      </c>
      <c r="D181" s="103" t="s">
        <v>269</v>
      </c>
      <c r="E181" s="103" t="s">
        <v>270</v>
      </c>
    </row>
    <row r="182" spans="2:5" x14ac:dyDescent="0.3">
      <c r="B182" s="102" t="s">
        <v>449</v>
      </c>
      <c r="C182" s="89" t="s">
        <v>450</v>
      </c>
      <c r="D182" s="103" t="s">
        <v>206</v>
      </c>
      <c r="E182" s="103" t="s">
        <v>207</v>
      </c>
    </row>
    <row r="183" spans="2:5" ht="41.4" x14ac:dyDescent="0.3">
      <c r="B183" s="102" t="s">
        <v>451</v>
      </c>
      <c r="C183" s="89" t="s">
        <v>325</v>
      </c>
      <c r="D183" s="103" t="s">
        <v>475</v>
      </c>
      <c r="E183" s="103" t="s">
        <v>476</v>
      </c>
    </row>
    <row r="184" spans="2:5" ht="27.6" x14ac:dyDescent="0.3">
      <c r="B184" s="102" t="s">
        <v>452</v>
      </c>
      <c r="C184" s="89" t="s">
        <v>453</v>
      </c>
      <c r="D184" s="103" t="s">
        <v>228</v>
      </c>
      <c r="E184" s="103" t="s">
        <v>229</v>
      </c>
    </row>
    <row r="185" spans="2:5" ht="27.6" x14ac:dyDescent="0.3">
      <c r="B185" s="102" t="s">
        <v>454</v>
      </c>
      <c r="C185" s="89" t="s">
        <v>327</v>
      </c>
      <c r="D185" s="103" t="s">
        <v>232</v>
      </c>
      <c r="E185" s="103" t="s">
        <v>233</v>
      </c>
    </row>
    <row r="186" spans="2:5" ht="27.6" x14ac:dyDescent="0.3">
      <c r="B186" s="102" t="s">
        <v>455</v>
      </c>
      <c r="C186" s="89" t="s">
        <v>327</v>
      </c>
      <c r="D186" s="103" t="s">
        <v>232</v>
      </c>
      <c r="E186" s="103" t="s">
        <v>233</v>
      </c>
    </row>
    <row r="187" spans="2:5" ht="41.4" x14ac:dyDescent="0.3">
      <c r="B187" s="102" t="s">
        <v>456</v>
      </c>
      <c r="C187" s="89" t="s">
        <v>284</v>
      </c>
      <c r="D187" s="103" t="s">
        <v>195</v>
      </c>
      <c r="E187" s="103" t="s">
        <v>237</v>
      </c>
    </row>
    <row r="188" spans="2:5" ht="27.6" x14ac:dyDescent="0.3">
      <c r="B188" s="102" t="s">
        <v>457</v>
      </c>
      <c r="C188" s="89" t="s">
        <v>458</v>
      </c>
      <c r="D188" s="103" t="s">
        <v>244</v>
      </c>
      <c r="E188" s="103" t="s">
        <v>245</v>
      </c>
    </row>
    <row r="189" spans="2:5" x14ac:dyDescent="0.3">
      <c r="B189" s="102" t="s">
        <v>459</v>
      </c>
      <c r="C189" s="89" t="s">
        <v>458</v>
      </c>
      <c r="D189" s="103" t="s">
        <v>206</v>
      </c>
      <c r="E189" s="103" t="s">
        <v>241</v>
      </c>
    </row>
    <row r="190" spans="2:5" x14ac:dyDescent="0.3">
      <c r="B190" s="102" t="s">
        <v>415</v>
      </c>
      <c r="C190" s="89" t="s">
        <v>460</v>
      </c>
      <c r="D190" s="100" t="s">
        <v>244</v>
      </c>
      <c r="E190" s="100" t="s">
        <v>245</v>
      </c>
    </row>
    <row r="191" spans="2:5" ht="69" x14ac:dyDescent="0.3">
      <c r="B191" s="86" t="s">
        <v>461</v>
      </c>
      <c r="C191" s="89" t="s">
        <v>280</v>
      </c>
      <c r="D191" s="103" t="s">
        <v>156</v>
      </c>
      <c r="E191" s="103" t="s">
        <v>157</v>
      </c>
    </row>
    <row r="192" spans="2:5" x14ac:dyDescent="0.3">
      <c r="B192" s="86" t="s">
        <v>462</v>
      </c>
      <c r="C192" s="89" t="s">
        <v>463</v>
      </c>
      <c r="D192" s="103" t="s">
        <v>206</v>
      </c>
      <c r="E192" s="103" t="s">
        <v>241</v>
      </c>
    </row>
    <row r="193" spans="2:5" ht="41.4" x14ac:dyDescent="0.3">
      <c r="B193" s="86" t="s">
        <v>464</v>
      </c>
      <c r="C193" s="89" t="s">
        <v>465</v>
      </c>
      <c r="D193" s="103" t="s">
        <v>195</v>
      </c>
      <c r="E193" s="103" t="s">
        <v>249</v>
      </c>
    </row>
    <row r="194" spans="2:5" ht="41.4" x14ac:dyDescent="0.3">
      <c r="B194" s="86" t="s">
        <v>466</v>
      </c>
      <c r="C194" s="89" t="s">
        <v>465</v>
      </c>
      <c r="D194" s="103" t="s">
        <v>195</v>
      </c>
      <c r="E194" s="103" t="s">
        <v>249</v>
      </c>
    </row>
    <row r="195" spans="2:5" ht="82.8" x14ac:dyDescent="0.3">
      <c r="B195" s="86" t="s">
        <v>467</v>
      </c>
      <c r="C195" s="89" t="s">
        <v>468</v>
      </c>
      <c r="D195" s="103" t="s">
        <v>224</v>
      </c>
      <c r="E195" s="103" t="s">
        <v>225</v>
      </c>
    </row>
    <row r="196" spans="2:5" ht="27.6" x14ac:dyDescent="0.3">
      <c r="B196" s="86" t="s">
        <v>469</v>
      </c>
      <c r="C196" s="89" t="s">
        <v>470</v>
      </c>
      <c r="D196" s="103" t="s">
        <v>206</v>
      </c>
      <c r="E196" s="103" t="s">
        <v>241</v>
      </c>
    </row>
    <row r="197" spans="2:5" x14ac:dyDescent="0.3">
      <c r="B197" s="86" t="s">
        <v>471</v>
      </c>
      <c r="C197" s="89" t="s">
        <v>472</v>
      </c>
      <c r="D197" s="103" t="s">
        <v>232</v>
      </c>
      <c r="E197" s="103" t="s">
        <v>233</v>
      </c>
    </row>
    <row r="198" spans="2:5" x14ac:dyDescent="0.3">
      <c r="B198" s="86" t="s">
        <v>473</v>
      </c>
      <c r="C198" s="89" t="s">
        <v>474</v>
      </c>
      <c r="D198" s="103" t="s">
        <v>232</v>
      </c>
      <c r="E198" s="103" t="s">
        <v>233</v>
      </c>
    </row>
  </sheetData>
  <conditionalFormatting sqref="B127:B154">
    <cfRule type="duplicateValues" dxfId="1" priority="2"/>
  </conditionalFormatting>
  <conditionalFormatting sqref="B175:B198">
    <cfRule type="duplicateValues" dxfId="0" priority="1"/>
  </conditionalFormatting>
  <pageMargins left="0.43307086614173229" right="0.15748031496062992" top="0.31496062992125984" bottom="0.19685039370078741" header="0.31496062992125984" footer="0.19685039370078741"/>
  <pageSetup paperSize="9" orientation="landscape" r:id="rId1"/>
  <rowBreaks count="1" manualBreakCount="1">
    <brk id="14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Z37"/>
  <sheetViews>
    <sheetView tabSelected="1" view="pageBreakPreview" zoomScale="60" zoomScaleNormal="100" workbookViewId="0"/>
  </sheetViews>
  <sheetFormatPr defaultColWidth="9.109375" defaultRowHeight="14.4" x14ac:dyDescent="0.3"/>
  <cols>
    <col min="1" max="24" width="5.5546875" style="44" customWidth="1"/>
    <col min="25" max="25" width="6.6640625" style="44" customWidth="1"/>
    <col min="26" max="26" width="5.44140625" style="44" customWidth="1"/>
    <col min="27" max="16384" width="9.109375" style="44"/>
  </cols>
  <sheetData>
    <row r="1" spans="1:26" ht="15.6" x14ac:dyDescent="0.3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  <c r="S1" s="42"/>
      <c r="T1" s="42"/>
      <c r="U1" s="42"/>
      <c r="V1" s="42"/>
      <c r="W1" s="42"/>
      <c r="X1" s="42"/>
      <c r="Y1" s="42"/>
      <c r="Z1" s="42"/>
    </row>
    <row r="2" spans="1:26" ht="15.6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5"/>
      <c r="S2" s="42"/>
      <c r="T2" s="42"/>
      <c r="U2" s="42"/>
      <c r="V2" s="42"/>
      <c r="W2" s="42"/>
      <c r="X2" s="42"/>
      <c r="Y2" s="42"/>
      <c r="Z2" s="42"/>
    </row>
    <row r="3" spans="1:26" ht="15.6" x14ac:dyDescent="0.3">
      <c r="A3" s="42"/>
      <c r="B3" s="42"/>
      <c r="C3" s="42"/>
      <c r="D3" s="46"/>
      <c r="E3" s="42"/>
      <c r="F3" s="42"/>
      <c r="G3" s="42"/>
      <c r="H3" s="42"/>
      <c r="I3" s="42"/>
      <c r="J3" s="42"/>
      <c r="K3" s="42"/>
      <c r="L3" s="42"/>
      <c r="M3" s="42"/>
      <c r="N3" s="42"/>
      <c r="O3" s="47"/>
      <c r="P3" s="47"/>
      <c r="Q3" s="47"/>
      <c r="R3" s="42"/>
      <c r="S3" s="42"/>
      <c r="T3" s="42"/>
      <c r="U3" s="42"/>
      <c r="V3" s="42"/>
      <c r="W3" s="42"/>
      <c r="X3" s="42"/>
      <c r="Y3" s="42"/>
      <c r="Z3" s="42"/>
    </row>
    <row r="4" spans="1:26" ht="15.75" customHeight="1" x14ac:dyDescent="0.3">
      <c r="A4" s="42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42"/>
      <c r="O4" s="48"/>
      <c r="Z4" s="49"/>
    </row>
    <row r="5" spans="1:26" ht="16.2" hidden="1" x14ac:dyDescent="0.3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8"/>
      <c r="Z5" s="49"/>
    </row>
    <row r="6" spans="1:26" ht="16.2" x14ac:dyDescent="0.3">
      <c r="A6" s="42"/>
      <c r="B6" s="162"/>
      <c r="C6" s="162"/>
      <c r="D6" s="162"/>
      <c r="E6" s="42"/>
      <c r="F6" s="42"/>
      <c r="G6" s="42"/>
      <c r="H6" s="42"/>
      <c r="I6" s="42"/>
      <c r="J6" s="42"/>
      <c r="K6" s="42"/>
      <c r="L6" s="42"/>
      <c r="M6" s="42"/>
      <c r="N6" s="42"/>
      <c r="O6" s="48"/>
      <c r="Z6" s="49"/>
    </row>
    <row r="7" spans="1:26" ht="16.2" x14ac:dyDescent="0.3">
      <c r="A7" s="42"/>
      <c r="B7" s="163" t="str">
        <f>ПОДПИСИ!C2</f>
        <v>ООО «СЭТ»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50"/>
    </row>
    <row r="8" spans="1:26" ht="15.6" x14ac:dyDescent="0.3">
      <c r="A8" s="42"/>
      <c r="B8" s="164" t="s">
        <v>73</v>
      </c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</row>
    <row r="9" spans="1:26" ht="16.2" x14ac:dyDescent="0.3">
      <c r="A9" s="42"/>
      <c r="B9" s="42"/>
      <c r="C9" s="42"/>
      <c r="D9" s="51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7"/>
      <c r="Q9" s="47"/>
      <c r="R9" s="52"/>
      <c r="S9" s="52"/>
      <c r="T9" s="52"/>
      <c r="U9" s="52"/>
      <c r="V9" s="52"/>
      <c r="W9" s="52"/>
      <c r="X9" s="52"/>
      <c r="Y9" s="52"/>
      <c r="Z9" s="53"/>
    </row>
    <row r="10" spans="1:26" ht="15.6" hidden="1" x14ac:dyDescent="0.3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42"/>
    </row>
    <row r="11" spans="1:26" ht="15.6" hidden="1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5.6" x14ac:dyDescent="0.3">
      <c r="A12" s="42"/>
      <c r="B12" s="42"/>
      <c r="C12" s="42"/>
      <c r="D12" s="51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24.6" x14ac:dyDescent="0.3">
      <c r="A13" s="160" t="s">
        <v>128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</row>
    <row r="14" spans="1:26" ht="20.399999999999999" x14ac:dyDescent="0.3">
      <c r="A14" s="168" t="s">
        <v>129</v>
      </c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 spans="1:26" ht="20.399999999999999" x14ac:dyDescent="0.3">
      <c r="A15" s="168" t="s">
        <v>130</v>
      </c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 spans="1:26" ht="15.6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5.75" customHeight="1" x14ac:dyDescent="0.3">
      <c r="A17" s="42"/>
      <c r="B17" s="42"/>
      <c r="C17" s="171" t="str">
        <f>ПОДПИСИ!B2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42"/>
      <c r="Z17" s="42"/>
    </row>
    <row r="18" spans="1:26" ht="15.6" x14ac:dyDescent="0.3">
      <c r="A18" s="42"/>
      <c r="B18" s="42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42"/>
      <c r="Z18" s="42"/>
    </row>
    <row r="19" spans="1:26" ht="62.4" customHeight="1" x14ac:dyDescent="0.3">
      <c r="A19" s="42"/>
      <c r="B19" s="42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42"/>
      <c r="Z19" s="42"/>
    </row>
    <row r="20" spans="1:26" ht="15.6" x14ac:dyDescent="0.3">
      <c r="A20" s="42"/>
      <c r="B20" s="42"/>
      <c r="C20" s="164" t="s">
        <v>72</v>
      </c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42"/>
      <c r="Z20" s="42"/>
    </row>
    <row r="21" spans="1:26" ht="15.6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6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6" hidden="1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6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6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6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6" x14ac:dyDescent="0.3">
      <c r="A27" s="42"/>
      <c r="B27" s="42"/>
      <c r="C27" s="169" t="s">
        <v>131</v>
      </c>
      <c r="D27" s="169"/>
      <c r="E27" s="169"/>
      <c r="F27" s="170" t="s">
        <v>495</v>
      </c>
      <c r="G27" s="170"/>
      <c r="H27" s="170"/>
      <c r="I27" s="170"/>
      <c r="J27" s="170"/>
      <c r="K27" s="170"/>
      <c r="L27" s="170"/>
      <c r="M27" s="42"/>
      <c r="N27" s="169" t="s">
        <v>132</v>
      </c>
      <c r="O27" s="169"/>
      <c r="P27" s="169"/>
      <c r="Q27" s="169"/>
      <c r="R27" s="170" t="s">
        <v>496</v>
      </c>
      <c r="S27" s="170"/>
      <c r="T27" s="170"/>
      <c r="U27" s="170"/>
      <c r="V27" s="170"/>
      <c r="W27" s="170"/>
      <c r="X27" s="170"/>
      <c r="Y27" s="170"/>
      <c r="Z27" s="42"/>
    </row>
    <row r="28" spans="1:26" ht="15.6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6" x14ac:dyDescent="0.3">
      <c r="A29" s="42"/>
      <c r="B29" s="42"/>
      <c r="C29" s="42"/>
      <c r="D29" s="46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6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6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6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6.2" x14ac:dyDescent="0.3">
      <c r="A33" s="42"/>
      <c r="B33" s="167"/>
      <c r="C33" s="167"/>
      <c r="D33" s="167"/>
      <c r="E33" s="167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2"/>
    </row>
    <row r="34" spans="1:26" ht="15.6" x14ac:dyDescent="0.3">
      <c r="A34" s="42"/>
      <c r="B34" s="42"/>
      <c r="C34" s="42"/>
      <c r="D34" s="42"/>
      <c r="E34" s="42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42"/>
    </row>
    <row r="35" spans="1:26" ht="15.6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6.2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8"/>
      <c r="L36" s="48"/>
      <c r="M36" s="48"/>
      <c r="N36" s="48"/>
      <c r="O36" s="48"/>
      <c r="P36" s="48"/>
      <c r="Q36" s="48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6" x14ac:dyDescent="0.3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54"/>
      <c r="L37" s="54"/>
      <c r="M37" s="54"/>
      <c r="N37" s="54"/>
      <c r="O37" s="54"/>
      <c r="P37" s="54"/>
      <c r="Q37" s="54"/>
      <c r="R37" s="42"/>
      <c r="S37" s="42"/>
      <c r="T37" s="42"/>
      <c r="U37" s="42"/>
      <c r="V37" s="42"/>
      <c r="W37" s="42"/>
      <c r="X37" s="42"/>
      <c r="Y37" s="42"/>
      <c r="Z37" s="42"/>
    </row>
  </sheetData>
  <mergeCells count="15">
    <mergeCell ref="B33:E33"/>
    <mergeCell ref="A14:Z14"/>
    <mergeCell ref="A15:Z15"/>
    <mergeCell ref="C27:E27"/>
    <mergeCell ref="F27:L27"/>
    <mergeCell ref="N27:Q27"/>
    <mergeCell ref="R27:Y27"/>
    <mergeCell ref="C17:X19"/>
    <mergeCell ref="C20:X20"/>
    <mergeCell ref="A13:Z13"/>
    <mergeCell ref="B4:M4"/>
    <mergeCell ref="B6:D6"/>
    <mergeCell ref="B7:Y7"/>
    <mergeCell ref="B8:Y8"/>
    <mergeCell ref="P10:Y10"/>
  </mergeCells>
  <pageMargins left="0.7" right="0.7" top="0.75" bottom="0.75" header="0.3" footer="0.3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5" tint="0.79998168889431442"/>
  </sheetPr>
  <dimension ref="A1:O203"/>
  <sheetViews>
    <sheetView tabSelected="1" view="pageBreakPreview" topLeftCell="A9" zoomScale="60" zoomScaleNormal="100" workbookViewId="0"/>
  </sheetViews>
  <sheetFormatPr defaultColWidth="9.109375" defaultRowHeight="13.8" x14ac:dyDescent="0.25"/>
  <cols>
    <col min="1" max="1" width="9.109375" style="8" customWidth="1"/>
    <col min="2" max="2" width="4.109375" style="10" customWidth="1"/>
    <col min="3" max="3" width="12" style="8" customWidth="1"/>
    <col min="4" max="4" width="36.88671875" style="11" customWidth="1"/>
    <col min="5" max="5" width="8.5546875" style="8" customWidth="1"/>
    <col min="6" max="6" width="19.88671875" style="8" customWidth="1"/>
    <col min="7" max="7" width="22.88671875" style="11" customWidth="1"/>
    <col min="8" max="8" width="30.109375" style="8" customWidth="1"/>
    <col min="9" max="9" width="18.44140625" style="8" customWidth="1"/>
    <col min="10" max="10" width="10" style="8" bestFit="1" customWidth="1"/>
    <col min="11" max="11" width="13" style="8" customWidth="1"/>
    <col min="12" max="12" width="9.109375" style="8"/>
    <col min="13" max="13" width="23.33203125" style="75" customWidth="1"/>
    <col min="14" max="16384" width="9.109375" style="8"/>
  </cols>
  <sheetData>
    <row r="1" spans="1:15" ht="150" customHeight="1" x14ac:dyDescent="0.25">
      <c r="A1" s="127" t="s">
        <v>353</v>
      </c>
      <c r="B1" s="17" t="s">
        <v>4</v>
      </c>
      <c r="C1" s="17" t="s">
        <v>105</v>
      </c>
      <c r="D1" s="17" t="s">
        <v>106</v>
      </c>
      <c r="E1" s="35" t="s">
        <v>107</v>
      </c>
      <c r="F1" s="17" t="s">
        <v>108</v>
      </c>
      <c r="G1" s="17" t="s">
        <v>109</v>
      </c>
      <c r="H1" s="17" t="s">
        <v>110</v>
      </c>
      <c r="I1" s="17" t="s">
        <v>111</v>
      </c>
      <c r="J1" s="17" t="s">
        <v>112</v>
      </c>
      <c r="K1" s="17" t="s">
        <v>113</v>
      </c>
      <c r="L1" s="8">
        <v>1</v>
      </c>
      <c r="M1" s="72" t="s">
        <v>141</v>
      </c>
      <c r="N1" s="18"/>
      <c r="O1" s="18"/>
    </row>
    <row r="2" spans="1:15" ht="15" customHeight="1" x14ac:dyDescent="0.25"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3"/>
      <c r="N2" s="18"/>
      <c r="O2" s="18"/>
    </row>
    <row r="3" spans="1:15" ht="18" hidden="1" x14ac:dyDescent="0.25">
      <c r="A3" s="10">
        <v>1</v>
      </c>
      <c r="B3" s="85">
        <f>SUBTOTAL(9,$L$3:L3)</f>
        <v>0</v>
      </c>
      <c r="C3" s="81" t="str">
        <f>IF(Жвх.к!$J3=1,Жвх.к!A3,"")</f>
        <v/>
      </c>
      <c r="D3" s="126" t="str">
        <f>IF(Жвх.к!$J3=1,Жвх.к!B3,"")</f>
        <v/>
      </c>
      <c r="E3" s="81" t="str">
        <f>IF(Жвх.к!$J3=1,Жвх.к!C3,"")</f>
        <v/>
      </c>
      <c r="F3" s="81" t="str">
        <f>IF(Жвх.к!$J3=1,Жвх.к!D3,"")</f>
        <v/>
      </c>
      <c r="G3" s="81" t="str">
        <f>IF(Жвх.к!$J3=1,Жвх.к!E3,"")</f>
        <v/>
      </c>
      <c r="H3" s="29" t="s">
        <v>126</v>
      </c>
      <c r="I3" s="12" t="s">
        <v>125</v>
      </c>
      <c r="J3" s="12" t="s">
        <v>125</v>
      </c>
      <c r="K3" s="7"/>
      <c r="L3" s="8">
        <f>IF(C3="",0,1)</f>
        <v>0</v>
      </c>
      <c r="M3" s="74" t="s">
        <v>164</v>
      </c>
      <c r="N3" s="18"/>
      <c r="O3" s="18"/>
    </row>
    <row r="4" spans="1:15" ht="18" hidden="1" x14ac:dyDescent="0.25">
      <c r="A4" s="10">
        <v>2</v>
      </c>
      <c r="B4" s="85">
        <f>SUBTOTAL(9,$L$3:L4)</f>
        <v>0</v>
      </c>
      <c r="C4" s="81" t="str">
        <f>IF(Жвх.к!$J4=1,Жвх.к!A4,"")</f>
        <v/>
      </c>
      <c r="D4" s="126" t="str">
        <f>IF(Жвх.к!$J4=1,Жвх.к!B4,"")</f>
        <v/>
      </c>
      <c r="E4" s="81" t="str">
        <f>IF(Жвх.к!$J4=1,Жвх.к!C4,"")</f>
        <v/>
      </c>
      <c r="F4" s="81" t="str">
        <f>IF(Жвх.к!$J4=1,Жвх.к!D4,"")</f>
        <v/>
      </c>
      <c r="G4" s="81" t="str">
        <f>IF(Жвх.к!$J4=1,Жвх.к!E4,"")</f>
        <v/>
      </c>
      <c r="H4" s="29" t="s">
        <v>126</v>
      </c>
      <c r="I4" s="12" t="s">
        <v>125</v>
      </c>
      <c r="J4" s="12" t="s">
        <v>125</v>
      </c>
      <c r="K4" s="7"/>
      <c r="L4" s="8">
        <f t="shared" ref="L4:L67" si="0">IF(C4="",0,1)</f>
        <v>0</v>
      </c>
      <c r="M4" s="74" t="s">
        <v>172</v>
      </c>
      <c r="N4" s="18"/>
      <c r="O4" s="18"/>
    </row>
    <row r="5" spans="1:15" ht="66" x14ac:dyDescent="0.25">
      <c r="A5" s="10">
        <v>3</v>
      </c>
      <c r="B5" s="85">
        <f>SUBTOTAL(9,$L$3:L5)</f>
        <v>1</v>
      </c>
      <c r="C5" s="81">
        <f>IF(Жвх.к!$J5=1,Жвх.к!A5,"")</f>
        <v>45607</v>
      </c>
      <c r="D5" s="126" t="str">
        <f>IF(Жвх.к!$J5=1,Жвх.к!B5,"")</f>
        <v>Разъединитель линейный качающего типа, с полимерными изоляторами РЛК.1б-10.IV/630 УХЛ1</v>
      </c>
      <c r="E5" s="81" t="str">
        <f>IF(Жвх.к!$J5=1,Жвх.к!C5,"")</f>
        <v>1 шт.</v>
      </c>
      <c r="F5" s="81" t="str">
        <f>IF(Жвх.к!$J5=1,Жвх.к!D5,"")</f>
        <v>ООО "КАСПИЙ-ЭЛЕКТРО"</v>
      </c>
      <c r="G5" s="81" t="str">
        <f>IF(Жвх.к!$J5=1,Жвх.к!E5,"")</f>
        <v>Сертификат соответствия РОСС RU.З2001.04ИБФ1.ОСП20.18595 с 20.04.2022 по 19.04.2025</v>
      </c>
      <c r="H5" s="29" t="s">
        <v>126</v>
      </c>
      <c r="I5" s="12" t="s">
        <v>125</v>
      </c>
      <c r="J5" s="12" t="s">
        <v>125</v>
      </c>
      <c r="K5" s="7"/>
      <c r="L5" s="8">
        <f t="shared" si="0"/>
        <v>1</v>
      </c>
      <c r="M5" s="74" t="s">
        <v>165</v>
      </c>
      <c r="N5" s="18"/>
      <c r="O5" s="18"/>
    </row>
    <row r="6" spans="1:15" ht="52.8" x14ac:dyDescent="0.25">
      <c r="A6" s="10">
        <v>4</v>
      </c>
      <c r="B6" s="85">
        <f>SUBTOTAL(9,$L$3:L6)</f>
        <v>2</v>
      </c>
      <c r="C6" s="81">
        <f>IF(Жвх.к!$J6=1,Жвх.к!A6,"")</f>
        <v>45607</v>
      </c>
      <c r="D6" s="126" t="str">
        <f>IF(Жвх.к!$J6=1,Жвх.к!B6,"")</f>
        <v>Разрядник мультикамерный РМК-20-IV-УХЛ1</v>
      </c>
      <c r="E6" s="81" t="str">
        <f>IF(Жвх.к!$J6=1,Жвх.к!C6,"")</f>
        <v>108 шт.</v>
      </c>
      <c r="F6" s="81" t="str">
        <f>IF(Жвх.к!$J6=1,Жвх.к!D6,"")</f>
        <v>АО "НПО "Стример"</v>
      </c>
      <c r="G6" s="81" t="str">
        <f>IF(Жвх.к!$J6=1,Жвх.к!E6,"")</f>
        <v>Сертификат соответствия №РОСС RU.ЕФ01.Н00004-22 с 10.04.2022 по 09.04.2025</v>
      </c>
      <c r="H6" s="29" t="s">
        <v>126</v>
      </c>
      <c r="I6" s="12" t="s">
        <v>125</v>
      </c>
      <c r="J6" s="12" t="s">
        <v>125</v>
      </c>
      <c r="K6" s="7"/>
      <c r="L6" s="8">
        <f t="shared" si="0"/>
        <v>1</v>
      </c>
      <c r="M6" s="74" t="s">
        <v>519</v>
      </c>
      <c r="N6" s="18"/>
      <c r="O6" s="18"/>
    </row>
    <row r="7" spans="1:15" ht="52.8" x14ac:dyDescent="0.25">
      <c r="A7" s="10">
        <v>5</v>
      </c>
      <c r="B7" s="85">
        <f>SUBTOTAL(9,$L$3:L7)</f>
        <v>3</v>
      </c>
      <c r="C7" s="81">
        <f>IF(Жвх.к!$J7=1,Жвх.к!A7,"")</f>
        <v>45607</v>
      </c>
      <c r="D7" s="126" t="str">
        <f>IF(Жвх.к!$J7=1,Жвх.к!B7,"")</f>
        <v>Разрядник мультикамерный экранного типа РМКЭ-10-IV-УХЛ1</v>
      </c>
      <c r="E7" s="81" t="str">
        <f>IF(Жвх.к!$J7=1,Жвх.к!C7,"")</f>
        <v>30 шт.</v>
      </c>
      <c r="F7" s="81" t="str">
        <f>IF(Жвх.к!$J7=1,Жвх.к!D7,"")</f>
        <v>АО "НПО "Стример"</v>
      </c>
      <c r="G7" s="81" t="str">
        <f>IF(Жвх.к!$J7=1,Жвх.к!E7,"")</f>
        <v>Сертификат соответствия №РОСС RU.ЕФ01.Н00004-22 с 10.04.2022 по 09.04.2025</v>
      </c>
      <c r="H7" s="29" t="s">
        <v>126</v>
      </c>
      <c r="I7" s="12" t="s">
        <v>125</v>
      </c>
      <c r="J7" s="12" t="s">
        <v>125</v>
      </c>
      <c r="K7" s="7"/>
      <c r="L7" s="8">
        <f t="shared" si="0"/>
        <v>1</v>
      </c>
      <c r="M7" s="74" t="s">
        <v>519</v>
      </c>
      <c r="N7" s="18"/>
      <c r="O7" s="18"/>
    </row>
    <row r="8" spans="1:15" ht="18" hidden="1" x14ac:dyDescent="0.25">
      <c r="A8" s="10">
        <v>6</v>
      </c>
      <c r="B8" s="85">
        <f>SUBTOTAL(9,$L$3:L8)</f>
        <v>3</v>
      </c>
      <c r="C8" s="81" t="str">
        <f>IF(Жвх.к!$J8=1,Жвх.к!A8,"")</f>
        <v/>
      </c>
      <c r="D8" s="126" t="str">
        <f>IF(Жвх.к!$J8=1,Жвх.к!B8,"")</f>
        <v/>
      </c>
      <c r="E8" s="81" t="str">
        <f>IF(Жвх.к!$J8=1,Жвх.к!C8,"")</f>
        <v/>
      </c>
      <c r="F8" s="81" t="str">
        <f>IF(Жвх.к!$J8=1,Жвх.к!D8,"")</f>
        <v/>
      </c>
      <c r="G8" s="81" t="str">
        <f>IF(Жвх.к!$J8=1,Жвх.к!E8,"")</f>
        <v/>
      </c>
      <c r="H8" s="29" t="s">
        <v>126</v>
      </c>
      <c r="I8" s="12" t="s">
        <v>125</v>
      </c>
      <c r="J8" s="12" t="s">
        <v>125</v>
      </c>
      <c r="K8" s="7"/>
      <c r="L8" s="8">
        <f t="shared" si="0"/>
        <v>0</v>
      </c>
      <c r="M8" s="74"/>
      <c r="N8" s="18"/>
      <c r="O8" s="18"/>
    </row>
    <row r="9" spans="1:15" ht="132" x14ac:dyDescent="0.25">
      <c r="A9" s="10">
        <v>7</v>
      </c>
      <c r="B9" s="85">
        <f>SUBTOTAL(9,$L$3:L9)</f>
        <v>4</v>
      </c>
      <c r="C9" s="81">
        <f>IF(Жвх.к!$J9=1,Жвх.к!A9,"")</f>
        <v>45607</v>
      </c>
      <c r="D9" s="126" t="str">
        <f>IF(Жвх.к!$J9=1,Жвх.к!B9,"")</f>
        <v>Провод линии СИП-3 1х120</v>
      </c>
      <c r="E9" s="81" t="str">
        <f>IF(Жвх.к!$J9=1,Жвх.к!C9,"")</f>
        <v>18387 м</v>
      </c>
      <c r="F9" s="81" t="str">
        <f>IF(Жвх.к!$J9=1,Жвх.к!D9,"")</f>
        <v>ООО "КЗ "ЦВЕТЛИТ"</v>
      </c>
      <c r="G9" s="81" t="str">
        <f>IF(Жвх.к!$J9=1,Жвх.к!E9,"")</f>
        <v>Паспорт качества №№24Т1-5845 от 21.07.2024 г.; Паспорт качества №№24Т1-5844 от 21.07.2024 г.; Паспорт качества №№24Т1-5847 от 21.07.2024 г; Паспорт качества №№24Т1-5851 от 21.07.2024 г.</v>
      </c>
      <c r="H9" s="29" t="s">
        <v>126</v>
      </c>
      <c r="I9" s="12" t="s">
        <v>125</v>
      </c>
      <c r="J9" s="12" t="s">
        <v>125</v>
      </c>
      <c r="K9" s="7"/>
      <c r="L9" s="8">
        <f t="shared" si="0"/>
        <v>1</v>
      </c>
      <c r="M9" s="74" t="s">
        <v>520</v>
      </c>
      <c r="N9" s="18"/>
      <c r="O9" s="18"/>
    </row>
    <row r="10" spans="1:15" ht="66" x14ac:dyDescent="0.25">
      <c r="A10" s="10">
        <v>8</v>
      </c>
      <c r="B10" s="85">
        <f>SUBTOTAL(9,$L$3:L10)</f>
        <v>5</v>
      </c>
      <c r="C10" s="81">
        <f>IF(Жвх.к!$J10=1,Жвх.к!A10,"")</f>
        <v>45607</v>
      </c>
      <c r="D10" s="126" t="str">
        <f>IF(Жвх.к!$J10=1,Жвх.к!B10,"")</f>
        <v>Стойка железобетонная  СВ110-3,5 (у)</v>
      </c>
      <c r="E10" s="81" t="str">
        <f>IF(Жвх.к!$J10=1,Жвх.к!C10,"")</f>
        <v>6 шт.</v>
      </c>
      <c r="F10" s="81" t="str">
        <f>IF(Жвх.к!$J10=1,Жвх.к!D10,"")</f>
        <v>ЗАО "Митеп-Волга"</v>
      </c>
      <c r="G10" s="81" t="str">
        <f>IF(Жвх.к!$J10=1,Жвх.к!E10,"")</f>
        <v>Сертификат соответствия №РОСС BY.HB61.H30298 от 09.11.2021 сроком действия до 08.11.2024</v>
      </c>
      <c r="H10" s="29" t="s">
        <v>126</v>
      </c>
      <c r="I10" s="12" t="s">
        <v>125</v>
      </c>
      <c r="J10" s="12" t="s">
        <v>125</v>
      </c>
      <c r="K10" s="7"/>
      <c r="L10" s="8">
        <f t="shared" si="0"/>
        <v>1</v>
      </c>
      <c r="M10" s="74" t="s">
        <v>518</v>
      </c>
      <c r="N10" s="18"/>
      <c r="O10" s="18"/>
    </row>
    <row r="11" spans="1:15" ht="18" hidden="1" x14ac:dyDescent="0.25">
      <c r="A11" s="10">
        <v>9</v>
      </c>
      <c r="B11" s="85">
        <f>SUBTOTAL(9,$L$3:L11)</f>
        <v>5</v>
      </c>
      <c r="C11" s="81" t="str">
        <f>IF(Жвх.к!$J11=1,Жвх.к!A11,"")</f>
        <v/>
      </c>
      <c r="D11" s="126" t="str">
        <f>IF(Жвх.к!$J11=1,Жвх.к!B11,"")</f>
        <v/>
      </c>
      <c r="E11" s="81" t="str">
        <f>IF(Жвх.к!$J11=1,Жвх.к!C11,"")</f>
        <v/>
      </c>
      <c r="F11" s="81" t="str">
        <f>IF(Жвх.к!$J11=1,Жвх.к!D11,"")</f>
        <v/>
      </c>
      <c r="G11" s="81" t="str">
        <f>IF(Жвх.к!$J11=1,Жвх.к!E11,"")</f>
        <v/>
      </c>
      <c r="H11" s="29" t="s">
        <v>126</v>
      </c>
      <c r="I11" s="12" t="s">
        <v>125</v>
      </c>
      <c r="J11" s="12" t="s">
        <v>125</v>
      </c>
      <c r="K11" s="7"/>
      <c r="L11" s="8">
        <f t="shared" si="0"/>
        <v>0</v>
      </c>
      <c r="M11" s="74"/>
      <c r="N11" s="18"/>
      <c r="O11" s="18"/>
    </row>
    <row r="12" spans="1:15" ht="66" x14ac:dyDescent="0.25">
      <c r="A12" s="10">
        <v>10</v>
      </c>
      <c r="B12" s="85">
        <f>SUBTOTAL(9,$L$3:L12)</f>
        <v>6</v>
      </c>
      <c r="C12" s="81">
        <f>IF(Жвх.к!$J12=1,Жвх.к!A12,"")</f>
        <v>45607</v>
      </c>
      <c r="D12" s="126" t="str">
        <f>IF(Жвх.к!$J12=1,Жвх.к!B12,"")</f>
        <v>Траверса ТМ63</v>
      </c>
      <c r="E12" s="81" t="str">
        <f>IF(Жвх.к!$J12=1,Жвх.к!C12,"")</f>
        <v>2 шт.</v>
      </c>
      <c r="F12" s="81" t="str">
        <f>IF(Жвх.к!$J12=1,Жвх.к!D12,"")</f>
        <v>ООО "НИЛЕД"</v>
      </c>
      <c r="G12" s="81" t="str">
        <f>IF(Жвх.к!$J12=1,Жвх.к!E12,"")</f>
        <v>Сертификат соответствия №РОСС RU.НЕ06.Н05218 от 12.04.2023 сроком действия до 11.04.2026</v>
      </c>
      <c r="H12" s="29" t="s">
        <v>126</v>
      </c>
      <c r="I12" s="12" t="s">
        <v>125</v>
      </c>
      <c r="J12" s="12" t="s">
        <v>125</v>
      </c>
      <c r="K12" s="7"/>
      <c r="L12" s="8">
        <f t="shared" si="0"/>
        <v>1</v>
      </c>
      <c r="M12" s="74" t="s">
        <v>165</v>
      </c>
      <c r="N12" s="18"/>
      <c r="O12" s="18"/>
    </row>
    <row r="13" spans="1:15" ht="66" x14ac:dyDescent="0.25">
      <c r="A13" s="10">
        <v>11</v>
      </c>
      <c r="B13" s="85">
        <f>SUBTOTAL(9,$L$3:L13)</f>
        <v>7</v>
      </c>
      <c r="C13" s="81">
        <f>IF(Жвх.к!$J13=1,Жвх.к!A13,"")</f>
        <v>45607</v>
      </c>
      <c r="D13" s="126" t="str">
        <f>IF(Жвх.к!$J13=1,Жвх.к!B13,"")</f>
        <v>Траверса ТМ65</v>
      </c>
      <c r="E13" s="81" t="str">
        <f>IF(Жвх.к!$J13=1,Жвх.к!C13,"")</f>
        <v>6 шт.</v>
      </c>
      <c r="F13" s="81" t="str">
        <f>IF(Жвх.к!$J13=1,Жвх.к!D13,"")</f>
        <v>ООО "НИЛЕД"</v>
      </c>
      <c r="G13" s="81" t="str">
        <f>IF(Жвх.к!$J13=1,Жвх.к!E13,"")</f>
        <v>Сертификат соответствия №РОСС RU.НЕ06.Н05218 от 12.04.2023 сроком действия до 11.04.2026</v>
      </c>
      <c r="H13" s="29" t="s">
        <v>126</v>
      </c>
      <c r="I13" s="12" t="s">
        <v>125</v>
      </c>
      <c r="J13" s="12" t="s">
        <v>125</v>
      </c>
      <c r="K13" s="7"/>
      <c r="L13" s="8">
        <f t="shared" si="0"/>
        <v>1</v>
      </c>
      <c r="M13" s="74" t="s">
        <v>165</v>
      </c>
      <c r="N13" s="18"/>
      <c r="O13" s="18"/>
    </row>
    <row r="14" spans="1:15" ht="66" x14ac:dyDescent="0.25">
      <c r="A14" s="10">
        <v>12</v>
      </c>
      <c r="B14" s="85">
        <f>SUBTOTAL(9,$L$3:L14)</f>
        <v>8</v>
      </c>
      <c r="C14" s="81">
        <f>IF(Жвх.к!$J13=1,Жвх.к!A13,"")</f>
        <v>45607</v>
      </c>
      <c r="D14" s="126" t="str">
        <f>IF(Жвх.к!$J14=1,Жвх.к!B14,"")</f>
        <v>Траверса ТМ66</v>
      </c>
      <c r="E14" s="81" t="str">
        <f>IF(Жвх.к!$J14=1,Жвх.к!C14,"")</f>
        <v>5 шт.</v>
      </c>
      <c r="F14" s="81" t="str">
        <f>IF(Жвх.к!$J14=1,Жвх.к!D14,"")</f>
        <v>ООО "НИЛЕД"</v>
      </c>
      <c r="G14" s="81" t="str">
        <f>IF(Жвх.к!$J14=1,Жвх.к!E14,"")</f>
        <v>Сертификат соответствия №РОСС RU.НЕ06.Н05218 от 12.04.2023 сроком действия до 11.04.2026</v>
      </c>
      <c r="H14" s="29" t="s">
        <v>126</v>
      </c>
      <c r="I14" s="12" t="s">
        <v>125</v>
      </c>
      <c r="J14" s="12" t="s">
        <v>125</v>
      </c>
      <c r="K14" s="7"/>
      <c r="L14" s="8">
        <f t="shared" si="0"/>
        <v>1</v>
      </c>
      <c r="M14" s="74" t="s">
        <v>165</v>
      </c>
      <c r="N14" s="18"/>
      <c r="O14" s="18"/>
    </row>
    <row r="15" spans="1:15" ht="66" x14ac:dyDescent="0.25">
      <c r="A15" s="10">
        <v>13</v>
      </c>
      <c r="B15" s="85">
        <f>SUBTOTAL(9,$L$3:L15)</f>
        <v>9</v>
      </c>
      <c r="C15" s="81">
        <f>IF(Жвх.к!$J14=1,Жвх.к!A14,"")</f>
        <v>45607</v>
      </c>
      <c r="D15" s="126" t="str">
        <f>IF(Жвх.к!$J15=1,Жвх.к!B15,"")</f>
        <v>Траверса ТМ67</v>
      </c>
      <c r="E15" s="81" t="str">
        <f>IF(Жвх.к!$J15=1,Жвх.к!C15,"")</f>
        <v>1 шт.</v>
      </c>
      <c r="F15" s="81" t="str">
        <f>IF(Жвх.к!$J15=1,Жвх.к!D15,"")</f>
        <v>ООО "НИЛЕД"</v>
      </c>
      <c r="G15" s="81" t="str">
        <f>IF(Жвх.к!$J15=1,Жвх.к!E15,"")</f>
        <v>Сертификат соответствия №РОСС RU.НЕ06.Н05218 от 12.04.2023 сроком действия до 11.04.2026</v>
      </c>
      <c r="H15" s="29" t="s">
        <v>126</v>
      </c>
      <c r="I15" s="12" t="s">
        <v>125</v>
      </c>
      <c r="J15" s="12" t="s">
        <v>125</v>
      </c>
      <c r="K15" s="7"/>
      <c r="L15" s="8">
        <f t="shared" si="0"/>
        <v>1</v>
      </c>
      <c r="M15" s="74" t="s">
        <v>165</v>
      </c>
      <c r="N15" s="18"/>
      <c r="O15" s="18"/>
    </row>
    <row r="16" spans="1:15" ht="66" x14ac:dyDescent="0.25">
      <c r="A16" s="10">
        <v>14</v>
      </c>
      <c r="B16" s="85">
        <f>SUBTOTAL(9,$L$3:L16)</f>
        <v>10</v>
      </c>
      <c r="C16" s="81">
        <f>IF(Жвх.к!$J15=1,Жвх.к!A15,"")</f>
        <v>45607</v>
      </c>
      <c r="D16" s="126" t="str">
        <f>IF(Жвх.к!$J16=1,Жвх.к!B16,"")</f>
        <v>Траверса ТМ68</v>
      </c>
      <c r="E16" s="81" t="str">
        <f>IF(Жвх.к!$J16=1,Жвх.к!C16,"")</f>
        <v>1 шт.</v>
      </c>
      <c r="F16" s="81" t="str">
        <f>IF(Жвх.к!$J16=1,Жвх.к!D16,"")</f>
        <v>ООО "НИЛЕД"</v>
      </c>
      <c r="G16" s="81" t="str">
        <f>IF(Жвх.к!$J16=1,Жвх.к!E16,"")</f>
        <v>Сертификат соответствия №РОСС RU.НЕ06.Н05218 от 12.04.2023 сроком действия до 11.04.2026</v>
      </c>
      <c r="H16" s="29" t="s">
        <v>126</v>
      </c>
      <c r="I16" s="12" t="s">
        <v>125</v>
      </c>
      <c r="J16" s="12" t="s">
        <v>125</v>
      </c>
      <c r="K16" s="7"/>
      <c r="L16" s="8">
        <f t="shared" si="0"/>
        <v>1</v>
      </c>
      <c r="M16" s="74" t="s">
        <v>165</v>
      </c>
      <c r="N16" s="18"/>
      <c r="O16" s="18"/>
    </row>
    <row r="17" spans="1:15" ht="66" x14ac:dyDescent="0.25">
      <c r="A17" s="10">
        <v>15</v>
      </c>
      <c r="B17" s="85">
        <f>SUBTOTAL(9,$L$3:L17)</f>
        <v>11</v>
      </c>
      <c r="C17" s="81">
        <f>IF(Жвх.к!$J16=1,Жвх.к!A16,"")</f>
        <v>45607</v>
      </c>
      <c r="D17" s="126" t="str">
        <f>IF(Жвх.к!$J17=1,Жвх.к!B17,"")</f>
        <v>Траверса ТМ73</v>
      </c>
      <c r="E17" s="81" t="str">
        <f>IF(Жвх.к!$J17=1,Жвх.к!C17,"")</f>
        <v>2 шт.</v>
      </c>
      <c r="F17" s="81" t="str">
        <f>IF(Жвх.к!$J17=1,Жвх.к!D17,"")</f>
        <v>ООО "НИЛЕД"</v>
      </c>
      <c r="G17" s="81" t="str">
        <f>IF(Жвх.к!$J17=1,Жвх.к!E17,"")</f>
        <v>Сертификат соответствия №РОСС RU.НЕ06.Н05218 от 12.04.2023 сроком действия до 11.04.2026</v>
      </c>
      <c r="H17" s="29" t="s">
        <v>126</v>
      </c>
      <c r="I17" s="12" t="s">
        <v>125</v>
      </c>
      <c r="J17" s="12" t="s">
        <v>125</v>
      </c>
      <c r="K17" s="7"/>
      <c r="L17" s="8">
        <f t="shared" si="0"/>
        <v>1</v>
      </c>
      <c r="M17" s="74" t="s">
        <v>165</v>
      </c>
      <c r="N17" s="18"/>
      <c r="O17" s="18"/>
    </row>
    <row r="18" spans="1:15" ht="66" x14ac:dyDescent="0.25">
      <c r="A18" s="10">
        <v>16</v>
      </c>
      <c r="B18" s="85">
        <f>SUBTOTAL(9,$L$3:L18)</f>
        <v>12</v>
      </c>
      <c r="C18" s="81">
        <f>IF(Жвх.к!$J17=1,Жвх.к!A17,"")</f>
        <v>45607</v>
      </c>
      <c r="D18" s="126" t="str">
        <f>IF(Жвх.к!$J18=1,Жвх.к!B18,"")</f>
        <v>Траверса ТМ74</v>
      </c>
      <c r="E18" s="81" t="str">
        <f>IF(Жвх.к!$J18=1,Жвх.к!C18,"")</f>
        <v>2 шт.</v>
      </c>
      <c r="F18" s="81" t="str">
        <f>IF(Жвх.к!$J18=1,Жвх.к!D18,"")</f>
        <v>ООО "НИЛЕД"</v>
      </c>
      <c r="G18" s="81" t="str">
        <f>IF(Жвх.к!$J18=1,Жвх.к!E18,"")</f>
        <v>Сертификат соответствия №РОСС RU.НЕ06.Н05218 от 12.04.2023 сроком действия до 11.04.2026</v>
      </c>
      <c r="H18" s="29" t="s">
        <v>126</v>
      </c>
      <c r="I18" s="12" t="s">
        <v>125</v>
      </c>
      <c r="J18" s="12" t="s">
        <v>125</v>
      </c>
      <c r="K18" s="7"/>
      <c r="L18" s="8">
        <f t="shared" si="0"/>
        <v>1</v>
      </c>
      <c r="M18" s="74" t="s">
        <v>165</v>
      </c>
      <c r="N18" s="18"/>
      <c r="O18" s="18"/>
    </row>
    <row r="19" spans="1:15" ht="18" x14ac:dyDescent="0.25">
      <c r="A19" s="10">
        <v>17</v>
      </c>
      <c r="B19" s="148">
        <f>SUBTOTAL(9,$L$3:L19)</f>
        <v>13</v>
      </c>
      <c r="C19" s="149">
        <f>IF(Жвх.к!$J18=1,Жвх.к!A18,"")</f>
        <v>45607</v>
      </c>
      <c r="D19" s="126" t="str">
        <f>IF(Жвх.к!$J19=1,Жвх.к!B19,"")</f>
        <v/>
      </c>
      <c r="E19" s="81" t="str">
        <f>IF(Жвх.к!$J19=1,Жвх.к!C19,"")</f>
        <v/>
      </c>
      <c r="F19" s="81" t="str">
        <f>IF(Жвх.к!$J19=1,Жвх.к!D19,"")</f>
        <v/>
      </c>
      <c r="G19" s="81" t="str">
        <f>IF(Жвх.к!$J19=1,Жвх.к!E19,"")</f>
        <v/>
      </c>
      <c r="H19" s="150" t="s">
        <v>126</v>
      </c>
      <c r="I19" s="151" t="s">
        <v>125</v>
      </c>
      <c r="J19" s="151" t="s">
        <v>125</v>
      </c>
      <c r="K19" s="7"/>
      <c r="L19" s="8">
        <f t="shared" si="0"/>
        <v>1</v>
      </c>
      <c r="M19" s="74"/>
      <c r="N19" s="18"/>
      <c r="O19" s="18"/>
    </row>
    <row r="20" spans="1:15" ht="18" hidden="1" x14ac:dyDescent="0.25">
      <c r="A20" s="10">
        <v>18</v>
      </c>
      <c r="B20" s="85">
        <f>SUBTOTAL(9,$L$3:L20)</f>
        <v>13</v>
      </c>
      <c r="C20" s="81" t="str">
        <f>IF(Жвх.к!$J19=1,Жвх.к!A19,"")</f>
        <v/>
      </c>
      <c r="D20" s="126" t="str">
        <f>IF(Жвх.к!$J20=1,Жвх.к!B20,"")</f>
        <v/>
      </c>
      <c r="E20" s="81" t="str">
        <f>IF(Жвх.к!$J20=1,Жвх.к!C20,"")</f>
        <v/>
      </c>
      <c r="F20" s="81" t="str">
        <f>IF(Жвх.к!$J20=1,Жвх.к!D20,"")</f>
        <v/>
      </c>
      <c r="G20" s="81" t="str">
        <f>IF(Жвх.к!$J20=1,Жвх.к!E20,"")</f>
        <v/>
      </c>
      <c r="H20" s="29" t="s">
        <v>126</v>
      </c>
      <c r="I20" s="12" t="s">
        <v>125</v>
      </c>
      <c r="J20" s="12" t="s">
        <v>125</v>
      </c>
      <c r="K20" s="7"/>
      <c r="L20" s="8">
        <f t="shared" si="0"/>
        <v>0</v>
      </c>
      <c r="M20" s="74" t="s">
        <v>167</v>
      </c>
      <c r="N20" s="18"/>
      <c r="O20" s="18"/>
    </row>
    <row r="21" spans="1:15" ht="18" hidden="1" x14ac:dyDescent="0.25">
      <c r="A21" s="10">
        <v>19</v>
      </c>
      <c r="B21" s="85">
        <f>SUBTOTAL(9,$L$3:L21)</f>
        <v>13</v>
      </c>
      <c r="C21" s="81" t="str">
        <f>IF(Жвх.к!$J20=1,Жвх.к!A20,"")</f>
        <v/>
      </c>
      <c r="D21" s="126" t="str">
        <f>IF(Жвх.к!$J21=1,Жвх.к!B21,"")</f>
        <v/>
      </c>
      <c r="E21" s="81" t="str">
        <f>IF(Жвх.к!$J21=1,Жвх.к!C21,"")</f>
        <v/>
      </c>
      <c r="F21" s="81" t="str">
        <f>IF(Жвх.к!$J21=1,Жвх.к!D21,"")</f>
        <v/>
      </c>
      <c r="G21" s="81" t="str">
        <f>IF(Жвх.к!$J21=1,Жвх.к!E21,"")</f>
        <v/>
      </c>
      <c r="H21" s="29" t="s">
        <v>126</v>
      </c>
      <c r="I21" s="12" t="s">
        <v>125</v>
      </c>
      <c r="J21" s="12" t="s">
        <v>125</v>
      </c>
      <c r="K21" s="7"/>
      <c r="L21" s="8">
        <f t="shared" si="0"/>
        <v>0</v>
      </c>
      <c r="M21" s="74" t="e">
        <f>VLOOKUP(F21,#REF!,#REF!)</f>
        <v>#REF!</v>
      </c>
      <c r="N21" s="18"/>
      <c r="O21" s="18"/>
    </row>
    <row r="22" spans="1:15" ht="18" hidden="1" x14ac:dyDescent="0.25">
      <c r="A22" s="10">
        <v>20</v>
      </c>
      <c r="B22" s="85">
        <f>SUBTOTAL(9,$L$3:L22)</f>
        <v>13</v>
      </c>
      <c r="C22" s="81" t="str">
        <f>IF(Жвх.к!$J21=1,Жвх.к!A21,"")</f>
        <v/>
      </c>
      <c r="D22" s="126" t="str">
        <f>IF(Жвх.к!$J22=1,Жвх.к!B22,"")</f>
        <v/>
      </c>
      <c r="E22" s="81" t="str">
        <f>IF(Жвх.к!$J22=1,Жвх.к!C22,"")</f>
        <v/>
      </c>
      <c r="F22" s="81" t="str">
        <f>IF(Жвх.к!$J22=1,Жвх.к!D22,"")</f>
        <v/>
      </c>
      <c r="G22" s="81" t="str">
        <f>IF(Жвх.к!$J22=1,Жвх.к!E22,"")</f>
        <v/>
      </c>
      <c r="H22" s="29" t="s">
        <v>126</v>
      </c>
      <c r="I22" s="12" t="s">
        <v>125</v>
      </c>
      <c r="J22" s="12" t="s">
        <v>125</v>
      </c>
      <c r="K22" s="7"/>
      <c r="L22" s="8">
        <f t="shared" si="0"/>
        <v>0</v>
      </c>
      <c r="M22" s="74" t="e">
        <f>VLOOKUP(F22,#REF!,#REF!)</f>
        <v>#REF!</v>
      </c>
      <c r="N22" s="18"/>
      <c r="O22" s="18"/>
    </row>
    <row r="23" spans="1:15" ht="18" hidden="1" x14ac:dyDescent="0.25">
      <c r="A23" s="10">
        <v>21</v>
      </c>
      <c r="B23" s="85">
        <f>SUBTOTAL(9,$L$3:L23)</f>
        <v>13</v>
      </c>
      <c r="C23" s="81" t="str">
        <f>IF(Жвх.к!$J22=1,Жвх.к!A22,"")</f>
        <v/>
      </c>
      <c r="D23" s="126" t="str">
        <f>IF(Жвх.к!$J23=1,Жвх.к!B23,"")</f>
        <v/>
      </c>
      <c r="E23" s="81" t="str">
        <f>IF(Жвх.к!$J23=1,Жвх.к!C23,"")</f>
        <v/>
      </c>
      <c r="F23" s="81" t="str">
        <f>IF(Жвх.к!$J23=1,Жвх.к!D23,"")</f>
        <v/>
      </c>
      <c r="G23" s="81" t="str">
        <f>IF(Жвх.к!$J23=1,Жвх.к!E23,"")</f>
        <v/>
      </c>
      <c r="H23" s="29" t="s">
        <v>126</v>
      </c>
      <c r="I23" s="12" t="s">
        <v>125</v>
      </c>
      <c r="J23" s="12" t="s">
        <v>125</v>
      </c>
      <c r="K23" s="7"/>
      <c r="L23" s="8">
        <f t="shared" si="0"/>
        <v>0</v>
      </c>
      <c r="M23" s="74" t="e">
        <f>VLOOKUP(F23,#REF!,#REF!)</f>
        <v>#REF!</v>
      </c>
      <c r="N23" s="18"/>
      <c r="O23" s="18"/>
    </row>
    <row r="24" spans="1:15" ht="18" hidden="1" x14ac:dyDescent="0.25">
      <c r="A24" s="10">
        <v>22</v>
      </c>
      <c r="B24" s="85">
        <f>SUBTOTAL(9,$L$3:L24)</f>
        <v>13</v>
      </c>
      <c r="C24" s="81" t="str">
        <f>IF(Жвх.к!$J23=1,Жвх.к!A23,"")</f>
        <v/>
      </c>
      <c r="D24" s="126" t="str">
        <f>IF(Жвх.к!$J24=1,Жвх.к!B24,"")</f>
        <v/>
      </c>
      <c r="E24" s="81" t="str">
        <f>IF(Жвх.к!$J24=1,Жвх.к!C24,"")</f>
        <v/>
      </c>
      <c r="F24" s="81" t="str">
        <f>IF(Жвх.к!$J24=1,Жвх.к!D24,"")</f>
        <v/>
      </c>
      <c r="G24" s="81" t="str">
        <f>IF(Жвх.к!$J24=1,Жвх.к!E24,"")</f>
        <v/>
      </c>
      <c r="H24" s="29" t="s">
        <v>126</v>
      </c>
      <c r="I24" s="12" t="s">
        <v>125</v>
      </c>
      <c r="J24" s="12" t="s">
        <v>125</v>
      </c>
      <c r="K24" s="7"/>
      <c r="L24" s="8">
        <f t="shared" si="0"/>
        <v>0</v>
      </c>
      <c r="M24" s="74" t="e">
        <f>VLOOKUP(F24,#REF!,#REF!)</f>
        <v>#REF!</v>
      </c>
      <c r="N24" s="18"/>
      <c r="O24" s="18"/>
    </row>
    <row r="25" spans="1:15" ht="18" hidden="1" x14ac:dyDescent="0.25">
      <c r="A25" s="10">
        <v>23</v>
      </c>
      <c r="B25" s="85">
        <f>SUBTOTAL(9,$L$3:L25)</f>
        <v>13</v>
      </c>
      <c r="C25" s="81" t="str">
        <f>IF(Жвх.к!$J24=1,Жвх.к!A24,"")</f>
        <v/>
      </c>
      <c r="D25" s="126" t="str">
        <f>IF(Жвх.к!$J25=1,Жвх.к!B25,"")</f>
        <v/>
      </c>
      <c r="E25" s="81" t="str">
        <f>IF(Жвх.к!$J25=1,Жвх.к!C25,"")</f>
        <v/>
      </c>
      <c r="F25" s="81" t="str">
        <f>IF(Жвх.к!$J25=1,Жвх.к!D25,"")</f>
        <v/>
      </c>
      <c r="G25" s="81" t="str">
        <f>IF(Жвх.к!$J25=1,Жвх.к!E25,"")</f>
        <v/>
      </c>
      <c r="H25" s="29" t="s">
        <v>126</v>
      </c>
      <c r="I25" s="12" t="s">
        <v>125</v>
      </c>
      <c r="J25" s="12" t="s">
        <v>125</v>
      </c>
      <c r="K25" s="7"/>
      <c r="L25" s="8">
        <f t="shared" si="0"/>
        <v>0</v>
      </c>
      <c r="M25" s="74" t="e">
        <f>VLOOKUP(F25,#REF!,#REF!)</f>
        <v>#REF!</v>
      </c>
      <c r="N25" s="18"/>
      <c r="O25" s="18"/>
    </row>
    <row r="26" spans="1:15" ht="18" hidden="1" x14ac:dyDescent="0.25">
      <c r="A26" s="10">
        <v>24</v>
      </c>
      <c r="B26" s="85">
        <f>SUBTOTAL(9,$L$3:L26)</f>
        <v>13</v>
      </c>
      <c r="C26" s="81" t="str">
        <f>IF(Жвх.к!$J25=1,Жвх.к!A25,"")</f>
        <v/>
      </c>
      <c r="D26" s="126" t="str">
        <f>IF(Жвх.к!$J26=1,Жвх.к!B26,"")</f>
        <v/>
      </c>
      <c r="E26" s="81" t="str">
        <f>IF(Жвх.к!$J26=1,Жвх.к!C26,"")</f>
        <v/>
      </c>
      <c r="F26" s="81" t="str">
        <f>IF(Жвх.к!$J26=1,Жвх.к!D26,"")</f>
        <v/>
      </c>
      <c r="G26" s="81" t="str">
        <f>IF(Жвх.к!$J26=1,Жвх.к!E26,"")</f>
        <v/>
      </c>
      <c r="H26" s="29" t="s">
        <v>126</v>
      </c>
      <c r="I26" s="12" t="s">
        <v>125</v>
      </c>
      <c r="J26" s="12" t="s">
        <v>125</v>
      </c>
      <c r="K26" s="7"/>
      <c r="L26" s="8">
        <f t="shared" si="0"/>
        <v>0</v>
      </c>
      <c r="M26" s="74" t="e">
        <f>VLOOKUP(F26,#REF!,#REF!)</f>
        <v>#REF!</v>
      </c>
      <c r="N26" s="18"/>
      <c r="O26" s="18"/>
    </row>
    <row r="27" spans="1:15" ht="18" hidden="1" x14ac:dyDescent="0.25">
      <c r="A27" s="10">
        <v>25</v>
      </c>
      <c r="B27" s="85">
        <f>SUBTOTAL(9,$L$3:L27)</f>
        <v>13</v>
      </c>
      <c r="C27" s="81" t="str">
        <f>IF(Жвх.к!$J26=1,Жвх.к!A26,"")</f>
        <v/>
      </c>
      <c r="D27" s="126" t="str">
        <f>IF(Жвх.к!$J27=1,Жвх.к!B27,"")</f>
        <v/>
      </c>
      <c r="E27" s="81" t="str">
        <f>IF(Жвх.к!$J27=1,Жвх.к!C27,"")</f>
        <v/>
      </c>
      <c r="F27" s="81" t="str">
        <f>IF(Жвх.к!$J27=1,Жвх.к!D27,"")</f>
        <v/>
      </c>
      <c r="G27" s="81" t="str">
        <f>IF(Жвх.к!$J27=1,Жвх.к!E27,"")</f>
        <v/>
      </c>
      <c r="H27" s="29" t="s">
        <v>126</v>
      </c>
      <c r="I27" s="12" t="s">
        <v>125</v>
      </c>
      <c r="J27" s="12" t="s">
        <v>125</v>
      </c>
      <c r="K27" s="7"/>
      <c r="L27" s="8">
        <f t="shared" si="0"/>
        <v>0</v>
      </c>
      <c r="M27" s="74" t="e">
        <f>VLOOKUP(F27,#REF!,#REF!)</f>
        <v>#REF!</v>
      </c>
      <c r="N27" s="18"/>
      <c r="O27" s="18"/>
    </row>
    <row r="28" spans="1:15" ht="18" hidden="1" x14ac:dyDescent="0.25">
      <c r="A28" s="10">
        <v>26</v>
      </c>
      <c r="B28" s="85">
        <f>SUBTOTAL(9,$L$3:L28)</f>
        <v>13</v>
      </c>
      <c r="C28" s="81" t="str">
        <f>IF(Жвх.к!$J27=1,Жвх.к!A27,"")</f>
        <v/>
      </c>
      <c r="D28" s="126" t="str">
        <f>IF(Жвх.к!$J28=1,Жвх.к!B28,"")</f>
        <v/>
      </c>
      <c r="E28" s="81" t="str">
        <f>IF(Жвх.к!$J28=1,Жвх.к!C28,"")</f>
        <v/>
      </c>
      <c r="F28" s="81" t="str">
        <f>IF(Жвх.к!$J28=1,Жвх.к!D28,"")</f>
        <v/>
      </c>
      <c r="G28" s="81" t="str">
        <f>IF(Жвх.к!$J28=1,Жвх.к!E28,"")</f>
        <v/>
      </c>
      <c r="H28" s="29" t="s">
        <v>126</v>
      </c>
      <c r="I28" s="12" t="s">
        <v>125</v>
      </c>
      <c r="J28" s="12" t="s">
        <v>125</v>
      </c>
      <c r="K28" s="7"/>
      <c r="L28" s="8">
        <f t="shared" si="0"/>
        <v>0</v>
      </c>
      <c r="M28" s="74" t="e">
        <f>VLOOKUP(F28,#REF!,#REF!)</f>
        <v>#REF!</v>
      </c>
      <c r="N28" s="18"/>
      <c r="O28" s="18"/>
    </row>
    <row r="29" spans="1:15" ht="18" hidden="1" x14ac:dyDescent="0.25">
      <c r="A29" s="10">
        <v>27</v>
      </c>
      <c r="B29" s="85">
        <f>SUBTOTAL(9,$L$3:L29)</f>
        <v>13</v>
      </c>
      <c r="C29" s="81" t="str">
        <f>IF(Жвх.к!$J28=1,Жвх.к!A28,"")</f>
        <v/>
      </c>
      <c r="D29" s="126" t="str">
        <f>IF(Жвх.к!$J29=1,Жвх.к!B29,"")</f>
        <v/>
      </c>
      <c r="E29" s="81" t="str">
        <f>IF(Жвх.к!$J29=1,Жвх.к!C29,"")</f>
        <v/>
      </c>
      <c r="F29" s="81" t="str">
        <f>IF(Жвх.к!$J29=1,Жвх.к!D29,"")</f>
        <v/>
      </c>
      <c r="G29" s="81" t="str">
        <f>IF(Жвх.к!$J29=1,Жвх.к!E29,"")</f>
        <v/>
      </c>
      <c r="H29" s="29" t="s">
        <v>126</v>
      </c>
      <c r="I29" s="12" t="s">
        <v>125</v>
      </c>
      <c r="J29" s="12" t="s">
        <v>125</v>
      </c>
      <c r="K29" s="7"/>
      <c r="L29" s="8">
        <f t="shared" si="0"/>
        <v>0</v>
      </c>
      <c r="M29" s="74" t="e">
        <f>VLOOKUP(F29,#REF!,#REF!)</f>
        <v>#REF!</v>
      </c>
      <c r="N29" s="18"/>
      <c r="O29" s="18"/>
    </row>
    <row r="30" spans="1:15" ht="18" hidden="1" x14ac:dyDescent="0.25">
      <c r="A30" s="10">
        <v>28</v>
      </c>
      <c r="B30" s="85">
        <f>SUBTOTAL(9,$L$3:L30)</f>
        <v>13</v>
      </c>
      <c r="C30" s="81" t="str">
        <f>IF(Жвх.к!$J29=1,Жвх.к!A29,"")</f>
        <v/>
      </c>
      <c r="D30" s="126" t="str">
        <f>IF(Жвх.к!$J30=1,Жвх.к!B30,"")</f>
        <v/>
      </c>
      <c r="E30" s="81" t="str">
        <f>IF(Жвх.к!$J30=1,Жвх.к!C30,"")</f>
        <v/>
      </c>
      <c r="F30" s="81" t="str">
        <f>IF(Жвх.к!$J30=1,Жвх.к!D30,"")</f>
        <v/>
      </c>
      <c r="G30" s="81" t="str">
        <f>IF(Жвх.к!$J30=1,Жвх.к!E30,"")</f>
        <v/>
      </c>
      <c r="H30" s="29" t="s">
        <v>126</v>
      </c>
      <c r="I30" s="12" t="s">
        <v>125</v>
      </c>
      <c r="J30" s="12" t="s">
        <v>125</v>
      </c>
      <c r="K30" s="7"/>
      <c r="L30" s="8">
        <f t="shared" si="0"/>
        <v>0</v>
      </c>
      <c r="M30" s="74" t="e">
        <f>VLOOKUP(F30,#REF!,#REF!)</f>
        <v>#REF!</v>
      </c>
      <c r="N30" s="18"/>
      <c r="O30" s="18"/>
    </row>
    <row r="31" spans="1:15" ht="18" hidden="1" x14ac:dyDescent="0.25">
      <c r="A31" s="10">
        <v>29</v>
      </c>
      <c r="B31" s="85">
        <f>SUBTOTAL(9,$L$3:L31)</f>
        <v>13</v>
      </c>
      <c r="C31" s="81" t="str">
        <f>IF(Жвх.к!$J30=1,Жвх.к!A30,"")</f>
        <v/>
      </c>
      <c r="D31" s="126" t="str">
        <f>IF(Жвх.к!$J31=1,Жвх.к!B31,"")</f>
        <v/>
      </c>
      <c r="E31" s="81" t="str">
        <f>IF(Жвх.к!$J31=1,Жвх.к!C31,"")</f>
        <v/>
      </c>
      <c r="F31" s="81" t="str">
        <f>IF(Жвх.к!$J31=1,Жвх.к!D31,"")</f>
        <v/>
      </c>
      <c r="G31" s="81" t="str">
        <f>IF(Жвх.к!$J31=1,Жвх.к!E31,"")</f>
        <v/>
      </c>
      <c r="H31" s="29" t="s">
        <v>126</v>
      </c>
      <c r="I31" s="12" t="s">
        <v>125</v>
      </c>
      <c r="J31" s="12" t="s">
        <v>125</v>
      </c>
      <c r="K31" s="7"/>
      <c r="L31" s="8">
        <f t="shared" si="0"/>
        <v>0</v>
      </c>
      <c r="M31" s="74" t="e">
        <f>VLOOKUP(F31,#REF!,#REF!)</f>
        <v>#REF!</v>
      </c>
      <c r="N31" s="18"/>
      <c r="O31" s="18"/>
    </row>
    <row r="32" spans="1:15" ht="18" hidden="1" x14ac:dyDescent="0.25">
      <c r="A32" s="10">
        <v>30</v>
      </c>
      <c r="B32" s="85">
        <f>SUBTOTAL(9,$L$3:L32)</f>
        <v>13</v>
      </c>
      <c r="C32" s="81" t="str">
        <f>IF(Жвх.к!$J31=1,Жвх.к!A31,"")</f>
        <v/>
      </c>
      <c r="D32" s="126" t="str">
        <f>IF(Жвх.к!$J32=1,Жвх.к!B32,"")</f>
        <v/>
      </c>
      <c r="E32" s="81" t="str">
        <f>IF(Жвх.к!$J32=1,Жвх.к!C32,"")</f>
        <v/>
      </c>
      <c r="F32" s="81" t="str">
        <f>IF(Жвх.к!$J32=1,Жвх.к!D32,"")</f>
        <v/>
      </c>
      <c r="G32" s="81" t="str">
        <f>IF(Жвх.к!$J32=1,Жвх.к!E32,"")</f>
        <v/>
      </c>
      <c r="H32" s="29" t="s">
        <v>126</v>
      </c>
      <c r="I32" s="12" t="s">
        <v>125</v>
      </c>
      <c r="J32" s="12" t="s">
        <v>125</v>
      </c>
      <c r="K32" s="7"/>
      <c r="L32" s="8">
        <f t="shared" si="0"/>
        <v>0</v>
      </c>
      <c r="M32" s="74" t="e">
        <f>VLOOKUP(F32,#REF!,#REF!)</f>
        <v>#REF!</v>
      </c>
      <c r="N32" s="18"/>
      <c r="O32" s="18"/>
    </row>
    <row r="33" spans="1:15" ht="18" hidden="1" x14ac:dyDescent="0.25">
      <c r="A33" s="10">
        <v>31</v>
      </c>
      <c r="B33" s="85">
        <f>SUBTOTAL(9,$L$3:L33)</f>
        <v>13</v>
      </c>
      <c r="C33" s="81" t="str">
        <f>IF(Жвх.к!$J32=1,Жвх.к!A32,"")</f>
        <v/>
      </c>
      <c r="D33" s="126" t="str">
        <f>IF(Жвх.к!$J33=1,Жвх.к!B33,"")</f>
        <v/>
      </c>
      <c r="E33" s="81" t="str">
        <f>IF(Жвх.к!$J33=1,Жвх.к!C33,"")</f>
        <v/>
      </c>
      <c r="F33" s="81" t="str">
        <f>IF(Жвх.к!$J33=1,Жвх.к!D33,"")</f>
        <v/>
      </c>
      <c r="G33" s="81" t="str">
        <f>IF(Жвх.к!$J33=1,Жвх.к!E33,"")</f>
        <v/>
      </c>
      <c r="H33" s="29" t="s">
        <v>126</v>
      </c>
      <c r="I33" s="12" t="s">
        <v>125</v>
      </c>
      <c r="J33" s="12" t="s">
        <v>125</v>
      </c>
      <c r="K33" s="7"/>
      <c r="L33" s="8">
        <f t="shared" si="0"/>
        <v>0</v>
      </c>
      <c r="M33" s="74" t="e">
        <f>VLOOKUP(F33,#REF!,#REF!)</f>
        <v>#REF!</v>
      </c>
      <c r="N33" s="18"/>
      <c r="O33" s="18"/>
    </row>
    <row r="34" spans="1:15" ht="18" x14ac:dyDescent="0.25">
      <c r="A34" s="10">
        <v>32</v>
      </c>
      <c r="B34" s="148">
        <f>SUBTOTAL(9,$L$3:L34)</f>
        <v>13</v>
      </c>
      <c r="C34" s="149" t="str">
        <f>IF(Жвх.к!$J33=1,Жвх.к!A33,"")</f>
        <v/>
      </c>
      <c r="D34" s="126" t="str">
        <f>IF(Жвх.к!$J34=1,Жвх.к!B34,"")</f>
        <v/>
      </c>
      <c r="E34" s="81" t="str">
        <f>IF(Жвх.к!$J34=1,Жвх.к!C34,"")</f>
        <v/>
      </c>
      <c r="F34" s="81" t="str">
        <f>IF(Жвх.к!$J34=1,Жвх.к!D34,"")</f>
        <v/>
      </c>
      <c r="G34" s="81" t="str">
        <f>IF(Жвх.к!$J34=1,Жвх.к!E34,"")</f>
        <v/>
      </c>
      <c r="H34" s="150" t="s">
        <v>126</v>
      </c>
      <c r="I34" s="151" t="s">
        <v>125</v>
      </c>
      <c r="J34" s="151" t="s">
        <v>125</v>
      </c>
      <c r="K34" s="7"/>
      <c r="L34" s="8">
        <f t="shared" si="0"/>
        <v>0</v>
      </c>
      <c r="M34" s="74"/>
      <c r="N34" s="18"/>
      <c r="O34" s="18"/>
    </row>
    <row r="35" spans="1:15" ht="18" hidden="1" x14ac:dyDescent="0.25">
      <c r="A35" s="10">
        <v>33</v>
      </c>
      <c r="B35" s="85">
        <f>SUBTOTAL(9,$L$3:L35)</f>
        <v>13</v>
      </c>
      <c r="C35" s="81" t="str">
        <f>IF(Жвх.к!$J34=1,Жвх.к!A34,"")</f>
        <v/>
      </c>
      <c r="D35" s="126" t="str">
        <f>IF(Жвх.к!$J35=1,Жвх.к!B35,"")</f>
        <v/>
      </c>
      <c r="E35" s="81" t="str">
        <f>IF(Жвх.к!$J35=1,Жвх.к!C35,"")</f>
        <v/>
      </c>
      <c r="F35" s="81" t="str">
        <f>IF(Жвх.к!$J35=1,Жвх.к!D35,"")</f>
        <v/>
      </c>
      <c r="G35" s="81" t="str">
        <f>IF(Жвх.к!$J35=1,Жвх.к!E35,"")</f>
        <v/>
      </c>
      <c r="H35" s="29" t="s">
        <v>126</v>
      </c>
      <c r="I35" s="12" t="s">
        <v>125</v>
      </c>
      <c r="J35" s="12" t="s">
        <v>125</v>
      </c>
      <c r="K35" s="7"/>
      <c r="L35" s="8">
        <f t="shared" si="0"/>
        <v>0</v>
      </c>
      <c r="M35" s="74" t="e">
        <f>VLOOKUP(F35,#REF!,#REF!)</f>
        <v>#REF!</v>
      </c>
      <c r="N35" s="18"/>
      <c r="O35" s="18"/>
    </row>
    <row r="36" spans="1:15" ht="18" hidden="1" x14ac:dyDescent="0.25">
      <c r="A36" s="10">
        <v>34</v>
      </c>
      <c r="B36" s="85">
        <f>SUBTOTAL(9,$L$3:L36)</f>
        <v>13</v>
      </c>
      <c r="C36" s="81" t="str">
        <f>IF(Жвх.к!$J35=1,Жвх.к!A35,"")</f>
        <v/>
      </c>
      <c r="D36" s="126" t="str">
        <f>IF(Жвх.к!$J36=1,Жвх.к!B36,"")</f>
        <v/>
      </c>
      <c r="E36" s="81" t="str">
        <f>IF(Жвх.к!$J36=1,Жвх.к!C36,"")</f>
        <v/>
      </c>
      <c r="F36" s="81" t="str">
        <f>IF(Жвх.к!$J36=1,Жвх.к!D36,"")</f>
        <v/>
      </c>
      <c r="G36" s="81" t="str">
        <f>IF(Жвх.к!$J36=1,Жвх.к!E36,"")</f>
        <v/>
      </c>
      <c r="H36" s="29" t="s">
        <v>126</v>
      </c>
      <c r="I36" s="12" t="s">
        <v>125</v>
      </c>
      <c r="J36" s="12" t="s">
        <v>125</v>
      </c>
      <c r="K36" s="7"/>
      <c r="L36" s="8">
        <f t="shared" si="0"/>
        <v>0</v>
      </c>
      <c r="M36" s="74" t="e">
        <f>VLOOKUP(F36,#REF!,#REF!)</f>
        <v>#REF!</v>
      </c>
      <c r="N36" s="18"/>
      <c r="O36" s="18"/>
    </row>
    <row r="37" spans="1:15" ht="18" hidden="1" x14ac:dyDescent="0.25">
      <c r="A37" s="10">
        <v>35</v>
      </c>
      <c r="B37" s="85">
        <f>SUBTOTAL(9,$L$3:L37)</f>
        <v>13</v>
      </c>
      <c r="C37" s="81" t="str">
        <f>IF(Жвх.к!$J36=1,Жвх.к!A36,"")</f>
        <v/>
      </c>
      <c r="D37" s="126" t="str">
        <f>IF(Жвх.к!$J37=1,Жвх.к!B37,"")</f>
        <v/>
      </c>
      <c r="E37" s="81" t="str">
        <f>IF(Жвх.к!$J37=1,Жвх.к!C37,"")</f>
        <v/>
      </c>
      <c r="F37" s="81" t="str">
        <f>IF(Жвх.к!$J37=1,Жвх.к!D37,"")</f>
        <v/>
      </c>
      <c r="G37" s="81" t="str">
        <f>IF(Жвх.к!$J37=1,Жвх.к!E37,"")</f>
        <v/>
      </c>
      <c r="H37" s="29" t="s">
        <v>126</v>
      </c>
      <c r="I37" s="12" t="s">
        <v>125</v>
      </c>
      <c r="J37" s="12" t="s">
        <v>125</v>
      </c>
      <c r="K37" s="7"/>
      <c r="L37" s="8">
        <f t="shared" si="0"/>
        <v>0</v>
      </c>
      <c r="M37" s="74" t="s">
        <v>479</v>
      </c>
      <c r="N37" s="18"/>
      <c r="O37" s="18"/>
    </row>
    <row r="38" spans="1:15" ht="18" hidden="1" x14ac:dyDescent="0.25">
      <c r="A38" s="10">
        <v>36</v>
      </c>
      <c r="B38" s="85">
        <f>SUBTOTAL(9,$L$3:L38)</f>
        <v>13</v>
      </c>
      <c r="C38" s="81" t="str">
        <f>IF(Жвх.к!$J37=1,Жвх.к!A37,"")</f>
        <v/>
      </c>
      <c r="D38" s="126" t="str">
        <f>IF(Жвх.к!$J38=1,Жвх.к!B38,"")</f>
        <v/>
      </c>
      <c r="E38" s="81" t="str">
        <f>IF(Жвх.к!$J38=1,Жвх.к!C38,"")</f>
        <v/>
      </c>
      <c r="F38" s="81" t="str">
        <f>IF(Жвх.к!$J38=1,Жвх.к!D38,"")</f>
        <v/>
      </c>
      <c r="G38" s="81" t="str">
        <f>IF(Жвх.к!$J38=1,Жвх.к!E38,"")</f>
        <v/>
      </c>
      <c r="H38" s="29" t="s">
        <v>126</v>
      </c>
      <c r="I38" s="12" t="s">
        <v>125</v>
      </c>
      <c r="J38" s="12" t="s">
        <v>125</v>
      </c>
      <c r="K38" s="7"/>
      <c r="L38" s="8">
        <f t="shared" si="0"/>
        <v>0</v>
      </c>
      <c r="M38" s="74"/>
      <c r="N38" s="18"/>
      <c r="O38" s="18"/>
    </row>
    <row r="39" spans="1:15" ht="18" hidden="1" x14ac:dyDescent="0.25">
      <c r="A39" s="10">
        <v>37</v>
      </c>
      <c r="B39" s="85">
        <f>SUBTOTAL(9,$L$3:L39)</f>
        <v>13</v>
      </c>
      <c r="C39" s="81" t="str">
        <f>IF(Жвх.к!$J38=1,Жвх.к!A38,"")</f>
        <v/>
      </c>
      <c r="D39" s="126" t="str">
        <f>IF(Жвх.к!$J39=1,Жвх.к!B39,"")</f>
        <v/>
      </c>
      <c r="E39" s="81" t="str">
        <f>IF(Жвх.к!$J39=1,Жвх.к!C39,"")</f>
        <v/>
      </c>
      <c r="F39" s="81" t="str">
        <f>IF(Жвх.к!$J39=1,Жвх.к!D39,"")</f>
        <v/>
      </c>
      <c r="G39" s="81" t="str">
        <f>IF(Жвх.к!$J39=1,Жвх.к!E39,"")</f>
        <v/>
      </c>
      <c r="H39" s="29" t="s">
        <v>126</v>
      </c>
      <c r="I39" s="12" t="s">
        <v>125</v>
      </c>
      <c r="J39" s="12" t="s">
        <v>125</v>
      </c>
      <c r="K39" s="7"/>
      <c r="L39" s="8">
        <f t="shared" si="0"/>
        <v>0</v>
      </c>
      <c r="M39" s="74" t="e">
        <f>VLOOKUP(F39,#REF!,#REF!)</f>
        <v>#REF!</v>
      </c>
      <c r="N39" s="18"/>
      <c r="O39" s="18"/>
    </row>
    <row r="40" spans="1:15" ht="18" hidden="1" x14ac:dyDescent="0.25">
      <c r="A40" s="10">
        <v>38</v>
      </c>
      <c r="B40" s="85">
        <f>SUBTOTAL(9,$L$3:L40)</f>
        <v>13</v>
      </c>
      <c r="C40" s="81" t="str">
        <f>IF(Жвх.к!$J39=1,Жвх.к!A39,"")</f>
        <v/>
      </c>
      <c r="D40" s="126" t="str">
        <f>IF(Жвх.к!$J40=1,Жвх.к!B40,"")</f>
        <v/>
      </c>
      <c r="E40" s="81" t="str">
        <f>IF(Жвх.к!$J40=1,Жвх.к!C40,"")</f>
        <v/>
      </c>
      <c r="F40" s="81" t="str">
        <f>IF(Жвх.к!$J40=1,Жвх.к!D40,"")</f>
        <v/>
      </c>
      <c r="G40" s="81" t="str">
        <f>IF(Жвх.к!$J40=1,Жвх.к!E40,"")</f>
        <v/>
      </c>
      <c r="H40" s="29" t="s">
        <v>126</v>
      </c>
      <c r="I40" s="12" t="s">
        <v>125</v>
      </c>
      <c r="J40" s="12" t="s">
        <v>125</v>
      </c>
      <c r="K40" s="7"/>
      <c r="L40" s="8">
        <f t="shared" si="0"/>
        <v>0</v>
      </c>
      <c r="M40" s="74" t="e">
        <f>VLOOKUP(F40,#REF!,#REF!)</f>
        <v>#REF!</v>
      </c>
      <c r="N40" s="18"/>
      <c r="O40" s="18"/>
    </row>
    <row r="41" spans="1:15" ht="18" hidden="1" x14ac:dyDescent="0.25">
      <c r="A41" s="10">
        <v>39</v>
      </c>
      <c r="B41" s="85">
        <f>SUBTOTAL(9,$L$3:L41)</f>
        <v>13</v>
      </c>
      <c r="C41" s="81" t="str">
        <f>IF(Жвх.к!$J40=1,Жвх.к!A40,"")</f>
        <v/>
      </c>
      <c r="D41" s="126" t="str">
        <f>IF(Жвх.к!$J41=1,Жвх.к!B41,"")</f>
        <v/>
      </c>
      <c r="E41" s="81" t="str">
        <f>IF(Жвх.к!$J41=1,Жвх.к!C41,"")</f>
        <v/>
      </c>
      <c r="F41" s="81" t="str">
        <f>IF(Жвх.к!$J41=1,Жвх.к!D41,"")</f>
        <v/>
      </c>
      <c r="G41" s="81" t="str">
        <f>IF(Жвх.к!$J41=1,Жвх.к!E41,"")</f>
        <v/>
      </c>
      <c r="H41" s="29" t="s">
        <v>126</v>
      </c>
      <c r="I41" s="12" t="s">
        <v>125</v>
      </c>
      <c r="J41" s="12" t="s">
        <v>125</v>
      </c>
      <c r="K41" s="7"/>
      <c r="L41" s="8">
        <f t="shared" si="0"/>
        <v>0</v>
      </c>
      <c r="M41" s="74" t="e">
        <f>VLOOKUP(F41,#REF!,#REF!)</f>
        <v>#REF!</v>
      </c>
      <c r="N41" s="18"/>
      <c r="O41" s="18"/>
    </row>
    <row r="42" spans="1:15" ht="18" hidden="1" x14ac:dyDescent="0.25">
      <c r="A42" s="10">
        <v>40</v>
      </c>
      <c r="B42" s="85">
        <f>SUBTOTAL(9,$L$3:L42)</f>
        <v>13</v>
      </c>
      <c r="C42" s="81" t="str">
        <f>IF(Жвх.к!$J41=1,Жвх.к!A41,"")</f>
        <v/>
      </c>
      <c r="D42" s="126" t="str">
        <f>IF(Жвх.к!$J42=1,Жвх.к!B42,"")</f>
        <v/>
      </c>
      <c r="E42" s="81" t="str">
        <f>IF(Жвх.к!$J42=1,Жвх.к!C42,"")</f>
        <v/>
      </c>
      <c r="F42" s="81" t="str">
        <f>IF(Жвх.к!$J42=1,Жвх.к!D42,"")</f>
        <v/>
      </c>
      <c r="G42" s="81" t="str">
        <f>IF(Жвх.к!$J42=1,Жвх.к!E42,"")</f>
        <v/>
      </c>
      <c r="H42" s="29" t="s">
        <v>126</v>
      </c>
      <c r="I42" s="12" t="s">
        <v>125</v>
      </c>
      <c r="J42" s="12" t="s">
        <v>125</v>
      </c>
      <c r="K42" s="7"/>
      <c r="L42" s="8">
        <f t="shared" si="0"/>
        <v>0</v>
      </c>
      <c r="M42" s="74" t="e">
        <f>VLOOKUP(F42,#REF!,#REF!)</f>
        <v>#REF!</v>
      </c>
      <c r="N42" s="18"/>
      <c r="O42" s="18"/>
    </row>
    <row r="43" spans="1:15" ht="18" hidden="1" x14ac:dyDescent="0.25">
      <c r="A43" s="10">
        <v>41</v>
      </c>
      <c r="B43" s="85">
        <f>SUBTOTAL(9,$L$3:L43)</f>
        <v>13</v>
      </c>
      <c r="C43" s="81" t="str">
        <f>IF(Жвх.к!$J42=1,Жвх.к!A42,"")</f>
        <v/>
      </c>
      <c r="D43" s="126" t="str">
        <f>IF(Жвх.к!$J43=1,Жвх.к!B43,"")</f>
        <v/>
      </c>
      <c r="E43" s="81" t="str">
        <f>IF(Жвх.к!$J43=1,Жвх.к!C43,"")</f>
        <v/>
      </c>
      <c r="F43" s="81" t="str">
        <f>IF(Жвх.к!$J43=1,Жвх.к!D43,"")</f>
        <v/>
      </c>
      <c r="G43" s="81" t="str">
        <f>IF(Жвх.к!$J43=1,Жвх.к!E43,"")</f>
        <v/>
      </c>
      <c r="H43" s="29" t="s">
        <v>126</v>
      </c>
      <c r="I43" s="12" t="s">
        <v>125</v>
      </c>
      <c r="J43" s="12" t="s">
        <v>125</v>
      </c>
      <c r="K43" s="7"/>
      <c r="L43" s="8">
        <f t="shared" si="0"/>
        <v>0</v>
      </c>
      <c r="M43" s="74" t="e">
        <f>VLOOKUP(F43,#REF!,#REF!)</f>
        <v>#REF!</v>
      </c>
      <c r="N43" s="18"/>
      <c r="O43" s="18"/>
    </row>
    <row r="44" spans="1:15" ht="18" hidden="1" x14ac:dyDescent="0.25">
      <c r="A44" s="10">
        <v>42</v>
      </c>
      <c r="B44" s="85">
        <f>SUBTOTAL(9,$L$3:L44)</f>
        <v>13</v>
      </c>
      <c r="C44" s="81" t="str">
        <f>IF(Жвх.к!$J43=1,Жвх.к!A43,"")</f>
        <v/>
      </c>
      <c r="D44" s="126" t="str">
        <f>IF(Жвх.к!$J44=1,Жвх.к!B44,"")</f>
        <v/>
      </c>
      <c r="E44" s="81" t="str">
        <f>IF(Жвх.к!$J44=1,Жвх.к!C44,"")</f>
        <v/>
      </c>
      <c r="F44" s="81" t="str">
        <f>IF(Жвх.к!$J44=1,Жвх.к!D44,"")</f>
        <v/>
      </c>
      <c r="G44" s="81" t="str">
        <f>IF(Жвх.к!$J44=1,Жвх.к!E44,"")</f>
        <v/>
      </c>
      <c r="H44" s="29" t="s">
        <v>126</v>
      </c>
      <c r="I44" s="12" t="s">
        <v>125</v>
      </c>
      <c r="J44" s="12" t="s">
        <v>125</v>
      </c>
      <c r="K44" s="7"/>
      <c r="L44" s="8">
        <f t="shared" si="0"/>
        <v>0</v>
      </c>
      <c r="M44" s="74" t="e">
        <f>VLOOKUP(F44,#REF!,#REF!)</f>
        <v>#REF!</v>
      </c>
      <c r="N44" s="18"/>
      <c r="O44" s="18"/>
    </row>
    <row r="45" spans="1:15" ht="18" hidden="1" x14ac:dyDescent="0.25">
      <c r="A45" s="10">
        <v>43</v>
      </c>
      <c r="B45" s="85">
        <f>SUBTOTAL(9,$L$3:L45)</f>
        <v>13</v>
      </c>
      <c r="C45" s="81" t="str">
        <f>IF(Жвх.к!$J44=1,Жвх.к!A44,"")</f>
        <v/>
      </c>
      <c r="D45" s="126" t="str">
        <f>IF(Жвх.к!$J45=1,Жвх.к!B45,"")</f>
        <v/>
      </c>
      <c r="E45" s="81" t="str">
        <f>IF(Жвх.к!$J45=1,Жвх.к!C45,"")</f>
        <v/>
      </c>
      <c r="F45" s="81" t="str">
        <f>IF(Жвх.к!$J45=1,Жвх.к!D45,"")</f>
        <v/>
      </c>
      <c r="G45" s="81" t="str">
        <f>IF(Жвх.к!$J45=1,Жвх.к!E45,"")</f>
        <v/>
      </c>
      <c r="H45" s="29" t="s">
        <v>126</v>
      </c>
      <c r="I45" s="12" t="s">
        <v>125</v>
      </c>
      <c r="J45" s="12" t="s">
        <v>125</v>
      </c>
      <c r="K45" s="7"/>
      <c r="L45" s="8">
        <f t="shared" si="0"/>
        <v>0</v>
      </c>
      <c r="M45" s="74" t="e">
        <f>VLOOKUP(F45,#REF!,#REF!)</f>
        <v>#REF!</v>
      </c>
      <c r="N45" s="18"/>
      <c r="O45" s="18"/>
    </row>
    <row r="46" spans="1:15" ht="18" hidden="1" x14ac:dyDescent="0.25">
      <c r="A46" s="10">
        <v>44</v>
      </c>
      <c r="B46" s="85">
        <f>SUBTOTAL(9,$L$3:L46)</f>
        <v>13</v>
      </c>
      <c r="C46" s="81" t="str">
        <f>IF(Жвх.к!$J45=1,Жвх.к!A45,"")</f>
        <v/>
      </c>
      <c r="D46" s="126" t="str">
        <f>IF(Жвх.к!$J46=1,Жвх.к!B46,"")</f>
        <v/>
      </c>
      <c r="E46" s="81" t="str">
        <f>IF(Жвх.к!$J46=1,Жвх.к!C46,"")</f>
        <v/>
      </c>
      <c r="F46" s="81" t="str">
        <f>IF(Жвх.к!$J46=1,Жвх.к!D46,"")</f>
        <v/>
      </c>
      <c r="G46" s="81" t="str">
        <f>IF(Жвх.к!$J46=1,Жвх.к!E46,"")</f>
        <v/>
      </c>
      <c r="H46" s="29" t="s">
        <v>126</v>
      </c>
      <c r="I46" s="12" t="s">
        <v>125</v>
      </c>
      <c r="J46" s="12" t="s">
        <v>125</v>
      </c>
      <c r="K46" s="7"/>
      <c r="L46" s="8">
        <f t="shared" si="0"/>
        <v>0</v>
      </c>
      <c r="M46" s="74" t="e">
        <f>VLOOKUP(F46,#REF!,#REF!)</f>
        <v>#REF!</v>
      </c>
      <c r="N46" s="18"/>
      <c r="O46" s="18"/>
    </row>
    <row r="47" spans="1:15" ht="18" hidden="1" x14ac:dyDescent="0.25">
      <c r="A47" s="10">
        <v>45</v>
      </c>
      <c r="B47" s="85">
        <f>SUBTOTAL(9,$L$3:L47)</f>
        <v>13</v>
      </c>
      <c r="C47" s="81" t="str">
        <f>IF(Жвх.к!$J46=1,Жвх.к!A46,"")</f>
        <v/>
      </c>
      <c r="D47" s="126" t="str">
        <f>IF(Жвх.к!$J47=1,Жвх.к!B47,"")</f>
        <v/>
      </c>
      <c r="E47" s="81" t="str">
        <f>IF(Жвх.к!$J47=1,Жвх.к!C47,"")</f>
        <v/>
      </c>
      <c r="F47" s="81" t="str">
        <f>IF(Жвх.к!$J47=1,Жвх.к!D47,"")</f>
        <v/>
      </c>
      <c r="G47" s="81" t="str">
        <f>IF(Жвх.к!$J47=1,Жвх.к!E47,"")</f>
        <v/>
      </c>
      <c r="H47" s="29" t="s">
        <v>126</v>
      </c>
      <c r="I47" s="12" t="s">
        <v>125</v>
      </c>
      <c r="J47" s="12" t="s">
        <v>125</v>
      </c>
      <c r="K47" s="7"/>
      <c r="L47" s="8">
        <f t="shared" si="0"/>
        <v>0</v>
      </c>
      <c r="M47" s="74" t="e">
        <f>VLOOKUP(F47,#REF!,#REF!)</f>
        <v>#REF!</v>
      </c>
      <c r="N47" s="18"/>
      <c r="O47" s="18"/>
    </row>
    <row r="48" spans="1:15" ht="18" hidden="1" x14ac:dyDescent="0.25">
      <c r="A48" s="10">
        <v>46</v>
      </c>
      <c r="B48" s="85">
        <f>SUBTOTAL(9,$L$3:L48)</f>
        <v>13</v>
      </c>
      <c r="C48" s="81" t="str">
        <f>IF(Жвх.к!$J47=1,Жвх.к!A47,"")</f>
        <v/>
      </c>
      <c r="D48" s="126" t="str">
        <f>IF(Жвх.к!$J48=1,Жвх.к!B48,"")</f>
        <v/>
      </c>
      <c r="E48" s="81" t="str">
        <f>IF(Жвх.к!$J48=1,Жвх.к!C48,"")</f>
        <v/>
      </c>
      <c r="F48" s="81" t="str">
        <f>IF(Жвх.к!$J48=1,Жвх.к!D48,"")</f>
        <v/>
      </c>
      <c r="G48" s="81" t="str">
        <f>IF(Жвх.к!$J48=1,Жвх.к!E48,"")</f>
        <v/>
      </c>
      <c r="H48" s="29" t="s">
        <v>126</v>
      </c>
      <c r="I48" s="12" t="s">
        <v>125</v>
      </c>
      <c r="J48" s="12" t="s">
        <v>125</v>
      </c>
      <c r="K48" s="7"/>
      <c r="L48" s="8">
        <f t="shared" si="0"/>
        <v>0</v>
      </c>
      <c r="M48" s="74" t="e">
        <f>VLOOKUP(F48,#REF!,#REF!)</f>
        <v>#REF!</v>
      </c>
      <c r="N48" s="18"/>
      <c r="O48" s="18"/>
    </row>
    <row r="49" spans="1:15" ht="18" hidden="1" x14ac:dyDescent="0.25">
      <c r="A49" s="10">
        <v>47</v>
      </c>
      <c r="B49" s="85">
        <f>SUBTOTAL(9,$L$3:L49)</f>
        <v>13</v>
      </c>
      <c r="C49" s="81" t="str">
        <f>IF(Жвх.к!$J48=1,Жвх.к!A48,"")</f>
        <v/>
      </c>
      <c r="D49" s="126" t="str">
        <f>IF(Жвх.к!$J49=1,Жвх.к!B49,"")</f>
        <v/>
      </c>
      <c r="E49" s="81" t="str">
        <f>IF(Жвх.к!$J49=1,Жвх.к!C49,"")</f>
        <v/>
      </c>
      <c r="F49" s="81" t="str">
        <f>IF(Жвх.к!$J49=1,Жвх.к!D49,"")</f>
        <v/>
      </c>
      <c r="G49" s="81" t="str">
        <f>IF(Жвх.к!$J49=1,Жвх.к!E49,"")</f>
        <v/>
      </c>
      <c r="H49" s="29" t="s">
        <v>126</v>
      </c>
      <c r="I49" s="12" t="s">
        <v>125</v>
      </c>
      <c r="J49" s="12" t="s">
        <v>125</v>
      </c>
      <c r="K49" s="7"/>
      <c r="L49" s="8">
        <f t="shared" si="0"/>
        <v>0</v>
      </c>
      <c r="M49" s="74" t="e">
        <f>VLOOKUP(F49,#REF!,#REF!)</f>
        <v>#REF!</v>
      </c>
      <c r="N49" s="18"/>
      <c r="O49" s="18"/>
    </row>
    <row r="50" spans="1:15" ht="18" hidden="1" x14ac:dyDescent="0.25">
      <c r="A50" s="10">
        <v>48</v>
      </c>
      <c r="B50" s="85">
        <f>SUBTOTAL(9,$L$3:L50)</f>
        <v>13</v>
      </c>
      <c r="C50" s="81" t="str">
        <f>IF(Жвх.к!$J49=1,Жвх.к!A49,"")</f>
        <v/>
      </c>
      <c r="D50" s="126" t="str">
        <f>IF(Жвх.к!$J50=1,Жвх.к!B50,"")</f>
        <v/>
      </c>
      <c r="E50" s="81" t="str">
        <f>IF(Жвх.к!$J50=1,Жвх.к!C50,"")</f>
        <v/>
      </c>
      <c r="F50" s="81" t="str">
        <f>IF(Жвх.к!$J50=1,Жвх.к!D50,"")</f>
        <v/>
      </c>
      <c r="G50" s="81" t="str">
        <f>IF(Жвх.к!$J50=1,Жвх.к!E50,"")</f>
        <v/>
      </c>
      <c r="H50" s="29" t="s">
        <v>126</v>
      </c>
      <c r="I50" s="12" t="s">
        <v>125</v>
      </c>
      <c r="J50" s="12" t="s">
        <v>125</v>
      </c>
      <c r="K50" s="7"/>
      <c r="L50" s="8">
        <f t="shared" si="0"/>
        <v>0</v>
      </c>
      <c r="M50" s="74" t="e">
        <f>VLOOKUP(F50,#REF!,#REF!)</f>
        <v>#REF!</v>
      </c>
      <c r="N50" s="18"/>
      <c r="O50" s="18"/>
    </row>
    <row r="51" spans="1:15" ht="18" hidden="1" x14ac:dyDescent="0.25">
      <c r="A51" s="10">
        <v>49</v>
      </c>
      <c r="B51" s="85">
        <f>SUBTOTAL(9,$L$3:L51)</f>
        <v>13</v>
      </c>
      <c r="C51" s="81" t="str">
        <f>IF(Жвх.к!$J50=1,Жвх.к!A50,"")</f>
        <v/>
      </c>
      <c r="D51" s="126" t="str">
        <f>IF(Жвх.к!$J51=1,Жвх.к!B51,"")</f>
        <v/>
      </c>
      <c r="E51" s="81" t="str">
        <f>IF(Жвх.к!$J51=1,Жвх.к!C51,"")</f>
        <v/>
      </c>
      <c r="F51" s="81" t="str">
        <f>IF(Жвх.к!$J51=1,Жвх.к!D51,"")</f>
        <v/>
      </c>
      <c r="G51" s="81" t="str">
        <f>IF(Жвх.к!$J51=1,Жвх.к!E51,"")</f>
        <v/>
      </c>
      <c r="H51" s="29" t="s">
        <v>126</v>
      </c>
      <c r="I51" s="12" t="s">
        <v>125</v>
      </c>
      <c r="J51" s="12" t="s">
        <v>125</v>
      </c>
      <c r="K51" s="7"/>
      <c r="L51" s="8">
        <f t="shared" si="0"/>
        <v>0</v>
      </c>
      <c r="M51" s="74" t="e">
        <f>VLOOKUP(F51,#REF!,#REF!)</f>
        <v>#REF!</v>
      </c>
      <c r="N51" s="18"/>
      <c r="O51" s="18"/>
    </row>
    <row r="52" spans="1:15" ht="18" hidden="1" x14ac:dyDescent="0.25">
      <c r="A52" s="10">
        <v>50</v>
      </c>
      <c r="B52" s="85">
        <f>SUBTOTAL(9,$L$3:L52)</f>
        <v>13</v>
      </c>
      <c r="C52" s="81" t="str">
        <f>IF(Жвх.к!$J51=1,Жвх.к!A51,"")</f>
        <v/>
      </c>
      <c r="D52" s="126" t="str">
        <f>IF(Жвх.к!$J52=1,Жвх.к!B52,"")</f>
        <v/>
      </c>
      <c r="E52" s="81" t="str">
        <f>IF(Жвх.к!$J52=1,Жвх.к!C52,"")</f>
        <v/>
      </c>
      <c r="F52" s="81" t="str">
        <f>IF(Жвх.к!$J52=1,Жвх.к!D52,"")</f>
        <v/>
      </c>
      <c r="G52" s="81" t="str">
        <f>IF(Жвх.к!$J52=1,Жвх.к!E52,"")</f>
        <v/>
      </c>
      <c r="H52" s="29" t="s">
        <v>126</v>
      </c>
      <c r="I52" s="12" t="s">
        <v>125</v>
      </c>
      <c r="J52" s="12" t="s">
        <v>125</v>
      </c>
      <c r="K52" s="7"/>
      <c r="L52" s="8">
        <f t="shared" si="0"/>
        <v>0</v>
      </c>
      <c r="M52" s="74" t="e">
        <f>VLOOKUP(F52,#REF!,#REF!)</f>
        <v>#REF!</v>
      </c>
      <c r="N52" s="18"/>
      <c r="O52" s="18"/>
    </row>
    <row r="53" spans="1:15" ht="18" hidden="1" x14ac:dyDescent="0.25">
      <c r="A53" s="10">
        <v>51</v>
      </c>
      <c r="B53" s="85">
        <f>SUBTOTAL(9,$L$3:L53)</f>
        <v>13</v>
      </c>
      <c r="C53" s="81" t="str">
        <f>IF(Жвх.к!$J52=1,Жвх.к!A52,"")</f>
        <v/>
      </c>
      <c r="D53" s="126" t="str">
        <f>IF(Жвх.к!$J53=1,Жвх.к!B53,"")</f>
        <v/>
      </c>
      <c r="E53" s="81" t="str">
        <f>IF(Жвх.к!$J53=1,Жвх.к!C53,"")</f>
        <v/>
      </c>
      <c r="F53" s="81" t="str">
        <f>IF(Жвх.к!$J53=1,Жвх.к!D53,"")</f>
        <v/>
      </c>
      <c r="G53" s="81" t="str">
        <f>IF(Жвх.к!$J53=1,Жвх.к!E53,"")</f>
        <v/>
      </c>
      <c r="H53" s="29" t="s">
        <v>126</v>
      </c>
      <c r="I53" s="12" t="s">
        <v>125</v>
      </c>
      <c r="J53" s="12" t="s">
        <v>125</v>
      </c>
      <c r="K53" s="7"/>
      <c r="L53" s="8">
        <f t="shared" si="0"/>
        <v>0</v>
      </c>
      <c r="M53" s="74" t="e">
        <f>VLOOKUP(F53,#REF!,#REF!)</f>
        <v>#REF!</v>
      </c>
      <c r="N53" s="18"/>
      <c r="O53" s="18"/>
    </row>
    <row r="54" spans="1:15" ht="18" hidden="1" x14ac:dyDescent="0.25">
      <c r="A54" s="10">
        <v>52</v>
      </c>
      <c r="B54" s="85">
        <f>SUBTOTAL(9,$L$3:L54)</f>
        <v>13</v>
      </c>
      <c r="C54" s="81" t="str">
        <f>IF(Жвх.к!$J53=1,Жвх.к!A53,"")</f>
        <v/>
      </c>
      <c r="D54" s="126" t="str">
        <f>IF(Жвх.к!$J54=1,Жвх.к!B54,"")</f>
        <v/>
      </c>
      <c r="E54" s="81" t="str">
        <f>IF(Жвх.к!$J54=1,Жвх.к!C54,"")</f>
        <v/>
      </c>
      <c r="F54" s="81" t="str">
        <f>IF(Жвх.к!$J54=1,Жвх.к!D54,"")</f>
        <v/>
      </c>
      <c r="G54" s="81" t="str">
        <f>IF(Жвх.к!$J54=1,Жвх.к!E54,"")</f>
        <v/>
      </c>
      <c r="H54" s="29" t="s">
        <v>126</v>
      </c>
      <c r="I54" s="12" t="s">
        <v>125</v>
      </c>
      <c r="J54" s="12" t="s">
        <v>125</v>
      </c>
      <c r="K54" s="7"/>
      <c r="L54" s="8">
        <f t="shared" si="0"/>
        <v>0</v>
      </c>
      <c r="M54" s="74" t="e">
        <f>VLOOKUP(F54,#REF!,#REF!)</f>
        <v>#REF!</v>
      </c>
      <c r="N54" s="18"/>
      <c r="O54" s="18"/>
    </row>
    <row r="55" spans="1:15" ht="18" hidden="1" x14ac:dyDescent="0.25">
      <c r="A55" s="10">
        <v>53</v>
      </c>
      <c r="B55" s="85">
        <f>SUBTOTAL(9,$L$3:L55)</f>
        <v>13</v>
      </c>
      <c r="C55" s="81" t="str">
        <f>IF(Жвх.к!$J54=1,Жвх.к!A54,"")</f>
        <v/>
      </c>
      <c r="D55" s="126" t="str">
        <f>IF(Жвх.к!$J55=1,Жвх.к!B55,"")</f>
        <v/>
      </c>
      <c r="E55" s="81" t="str">
        <f>IF(Жвх.к!$J55=1,Жвх.к!C55,"")</f>
        <v/>
      </c>
      <c r="F55" s="81" t="str">
        <f>IF(Жвх.к!$J55=1,Жвх.к!D55,"")</f>
        <v/>
      </c>
      <c r="G55" s="81" t="str">
        <f>IF(Жвх.к!$J55=1,Жвх.к!E55,"")</f>
        <v/>
      </c>
      <c r="H55" s="29" t="s">
        <v>126</v>
      </c>
      <c r="I55" s="12" t="s">
        <v>125</v>
      </c>
      <c r="J55" s="12" t="s">
        <v>125</v>
      </c>
      <c r="K55" s="7"/>
      <c r="L55" s="8">
        <f t="shared" si="0"/>
        <v>0</v>
      </c>
      <c r="M55" s="74" t="e">
        <f>VLOOKUP(F55,#REF!,#REF!)</f>
        <v>#REF!</v>
      </c>
      <c r="N55" s="18"/>
      <c r="O55" s="18"/>
    </row>
    <row r="56" spans="1:15" ht="18" hidden="1" x14ac:dyDescent="0.25">
      <c r="A56" s="10">
        <v>54</v>
      </c>
      <c r="B56" s="85">
        <f>SUBTOTAL(9,$L$3:L56)</f>
        <v>13</v>
      </c>
      <c r="C56" s="81" t="str">
        <f>IF(Жвх.к!$J55=1,Жвх.к!A55,"")</f>
        <v/>
      </c>
      <c r="D56" s="126" t="str">
        <f>IF(Жвх.к!$J56=1,Жвх.к!B56,"")</f>
        <v/>
      </c>
      <c r="E56" s="81" t="str">
        <f>IF(Жвх.к!$J56=1,Жвх.к!C56,"")</f>
        <v/>
      </c>
      <c r="F56" s="81" t="str">
        <f>IF(Жвх.к!$J56=1,Жвх.к!D56,"")</f>
        <v/>
      </c>
      <c r="G56" s="81" t="str">
        <f>IF(Жвх.к!$J56=1,Жвх.к!E56,"")</f>
        <v/>
      </c>
      <c r="H56" s="29" t="s">
        <v>126</v>
      </c>
      <c r="I56" s="12" t="s">
        <v>125</v>
      </c>
      <c r="J56" s="12" t="s">
        <v>125</v>
      </c>
      <c r="K56" s="7"/>
      <c r="L56" s="8">
        <f t="shared" si="0"/>
        <v>0</v>
      </c>
      <c r="M56" s="74" t="e">
        <f>VLOOKUP(F56,#REF!,#REF!)</f>
        <v>#REF!</v>
      </c>
      <c r="N56" s="18"/>
      <c r="O56" s="18"/>
    </row>
    <row r="57" spans="1:15" ht="18" hidden="1" x14ac:dyDescent="0.25">
      <c r="A57" s="10">
        <v>55</v>
      </c>
      <c r="B57" s="85">
        <f>SUBTOTAL(9,$L$3:L57)</f>
        <v>13</v>
      </c>
      <c r="C57" s="81" t="str">
        <f>IF(Жвх.к!$J56=1,Жвх.к!A56,"")</f>
        <v/>
      </c>
      <c r="D57" s="126" t="str">
        <f>IF(Жвх.к!$J57=1,Жвх.к!B57,"")</f>
        <v/>
      </c>
      <c r="E57" s="81" t="str">
        <f>IF(Жвх.к!$J57=1,Жвх.к!C57,"")</f>
        <v/>
      </c>
      <c r="F57" s="81" t="str">
        <f>IF(Жвх.к!$J57=1,Жвх.к!D57,"")</f>
        <v/>
      </c>
      <c r="G57" s="81" t="str">
        <f>IF(Жвх.к!$J57=1,Жвх.к!E57,"")</f>
        <v/>
      </c>
      <c r="H57" s="29" t="s">
        <v>126</v>
      </c>
      <c r="I57" s="12" t="s">
        <v>125</v>
      </c>
      <c r="J57" s="12" t="s">
        <v>125</v>
      </c>
      <c r="K57" s="7"/>
      <c r="L57" s="8">
        <f t="shared" si="0"/>
        <v>0</v>
      </c>
      <c r="M57" s="74" t="e">
        <f>VLOOKUP(F57,#REF!,#REF!)</f>
        <v>#REF!</v>
      </c>
      <c r="N57" s="18"/>
      <c r="O57" s="18"/>
    </row>
    <row r="58" spans="1:15" ht="18" hidden="1" x14ac:dyDescent="0.25">
      <c r="A58" s="10">
        <v>56</v>
      </c>
      <c r="B58" s="85">
        <f>SUBTOTAL(9,$L$3:L58)</f>
        <v>13</v>
      </c>
      <c r="C58" s="81" t="str">
        <f>IF(Жвх.к!$J57=1,Жвх.к!A57,"")</f>
        <v/>
      </c>
      <c r="D58" s="126" t="str">
        <f>IF(Жвх.к!$J58=1,Жвх.к!B58,"")</f>
        <v/>
      </c>
      <c r="E58" s="81" t="str">
        <f>IF(Жвх.к!$J58=1,Жвх.к!C58,"")</f>
        <v/>
      </c>
      <c r="F58" s="81" t="str">
        <f>IF(Жвх.к!$J58=1,Жвх.к!D58,"")</f>
        <v/>
      </c>
      <c r="G58" s="81" t="str">
        <f>IF(Жвх.к!$J58=1,Жвх.к!E58,"")</f>
        <v/>
      </c>
      <c r="H58" s="29" t="s">
        <v>126</v>
      </c>
      <c r="I58" s="12" t="s">
        <v>125</v>
      </c>
      <c r="J58" s="12" t="s">
        <v>125</v>
      </c>
      <c r="K58" s="7"/>
      <c r="L58" s="8">
        <f t="shared" si="0"/>
        <v>0</v>
      </c>
      <c r="M58" s="74" t="e">
        <f>VLOOKUP(F58,#REF!,#REF!)</f>
        <v>#REF!</v>
      </c>
      <c r="N58" s="18"/>
      <c r="O58" s="18"/>
    </row>
    <row r="59" spans="1:15" ht="18" hidden="1" x14ac:dyDescent="0.25">
      <c r="A59" s="10">
        <v>57</v>
      </c>
      <c r="B59" s="85">
        <f>SUBTOTAL(9,$L$3:L59)</f>
        <v>13</v>
      </c>
      <c r="C59" s="81" t="str">
        <f>IF(Жвх.к!$J58=1,Жвх.к!A58,"")</f>
        <v/>
      </c>
      <c r="D59" s="126" t="str">
        <f>IF(Жвх.к!$J59=1,Жвх.к!B59,"")</f>
        <v/>
      </c>
      <c r="E59" s="81" t="str">
        <f>IF(Жвх.к!$J59=1,Жвх.к!C59,"")</f>
        <v/>
      </c>
      <c r="F59" s="81" t="str">
        <f>IF(Жвх.к!$J59=1,Жвх.к!D59,"")</f>
        <v/>
      </c>
      <c r="G59" s="81" t="str">
        <f>IF(Жвх.к!$J59=1,Жвх.к!E59,"")</f>
        <v/>
      </c>
      <c r="H59" s="29" t="s">
        <v>126</v>
      </c>
      <c r="I59" s="12" t="s">
        <v>125</v>
      </c>
      <c r="J59" s="12" t="s">
        <v>125</v>
      </c>
      <c r="K59" s="7"/>
      <c r="L59" s="8">
        <f t="shared" si="0"/>
        <v>0</v>
      </c>
      <c r="M59" s="74" t="e">
        <f>VLOOKUP(F59,#REF!,#REF!)</f>
        <v>#REF!</v>
      </c>
      <c r="N59" s="18"/>
      <c r="O59" s="18"/>
    </row>
    <row r="60" spans="1:15" s="9" customFormat="1" ht="18" hidden="1" x14ac:dyDescent="0.25">
      <c r="A60" s="10">
        <v>58</v>
      </c>
      <c r="B60" s="85">
        <f>SUBTOTAL(9,$L$3:L60)</f>
        <v>13</v>
      </c>
      <c r="C60" s="81" t="str">
        <f>IF(Жвх.к!$J59=1,Жвх.к!A59,"")</f>
        <v/>
      </c>
      <c r="D60" s="126" t="str">
        <f>IF(Жвх.к!$J60=1,Жвх.к!B60,"")</f>
        <v/>
      </c>
      <c r="E60" s="81" t="str">
        <f>IF(Жвх.к!$J60=1,Жвх.к!C60,"")</f>
        <v/>
      </c>
      <c r="F60" s="81" t="str">
        <f>IF(Жвх.к!$J60=1,Жвх.к!D60,"")</f>
        <v/>
      </c>
      <c r="G60" s="81" t="str">
        <f>IF(Жвх.к!$J60=1,Жвх.к!E60,"")</f>
        <v/>
      </c>
      <c r="H60" s="29" t="s">
        <v>126</v>
      </c>
      <c r="I60" s="12" t="s">
        <v>125</v>
      </c>
      <c r="J60" s="12" t="s">
        <v>125</v>
      </c>
      <c r="K60" s="7"/>
      <c r="L60" s="8">
        <f t="shared" si="0"/>
        <v>0</v>
      </c>
      <c r="M60" s="74" t="e">
        <f>VLOOKUP(F60,#REF!,#REF!)</f>
        <v>#REF!</v>
      </c>
      <c r="N60" s="18"/>
      <c r="O60" s="18"/>
    </row>
    <row r="61" spans="1:15" s="9" customFormat="1" ht="18" hidden="1" x14ac:dyDescent="0.25">
      <c r="A61" s="10">
        <v>59</v>
      </c>
      <c r="B61" s="85">
        <f>SUBTOTAL(9,$L$3:L61)</f>
        <v>13</v>
      </c>
      <c r="C61" s="81" t="str">
        <f>IF(Жвх.к!$J60=1,Жвх.к!A60,"")</f>
        <v/>
      </c>
      <c r="D61" s="126" t="str">
        <f>IF(Жвх.к!$J61=1,Жвх.к!B61,"")</f>
        <v/>
      </c>
      <c r="E61" s="81" t="str">
        <f>IF(Жвх.к!$J61=1,Жвх.к!C61,"")</f>
        <v/>
      </c>
      <c r="F61" s="81" t="str">
        <f>IF(Жвх.к!$J61=1,Жвх.к!D61,"")</f>
        <v/>
      </c>
      <c r="G61" s="81" t="str">
        <f>IF(Жвх.к!$J61=1,Жвх.к!E61,"")</f>
        <v/>
      </c>
      <c r="H61" s="29" t="s">
        <v>126</v>
      </c>
      <c r="I61" s="12" t="s">
        <v>125</v>
      </c>
      <c r="J61" s="12" t="s">
        <v>125</v>
      </c>
      <c r="K61" s="7"/>
      <c r="L61" s="8">
        <f t="shared" si="0"/>
        <v>0</v>
      </c>
      <c r="M61" s="74" t="e">
        <f>VLOOKUP(F61,#REF!,#REF!)</f>
        <v>#REF!</v>
      </c>
      <c r="N61" s="18" t="s">
        <v>173</v>
      </c>
      <c r="O61" s="18"/>
    </row>
    <row r="62" spans="1:15" s="9" customFormat="1" ht="18" hidden="1" x14ac:dyDescent="0.25">
      <c r="A62" s="10">
        <v>60</v>
      </c>
      <c r="B62" s="85">
        <f>SUBTOTAL(9,$L$3:L62)</f>
        <v>13</v>
      </c>
      <c r="C62" s="81" t="str">
        <f>IF(Жвх.к!$J61=1,Жвх.к!A61,"")</f>
        <v/>
      </c>
      <c r="D62" s="126" t="str">
        <f>IF(Жвх.к!$J62=1,Жвх.к!B62,"")</f>
        <v/>
      </c>
      <c r="E62" s="81" t="str">
        <f>IF(Жвх.к!$J62=1,Жвх.к!C62,"")</f>
        <v/>
      </c>
      <c r="F62" s="81" t="str">
        <f>IF(Жвх.к!$J62=1,Жвх.к!D62,"")</f>
        <v/>
      </c>
      <c r="G62" s="81" t="str">
        <f>IF(Жвх.к!$J62=1,Жвх.к!E62,"")</f>
        <v/>
      </c>
      <c r="H62" s="29" t="s">
        <v>126</v>
      </c>
      <c r="I62" s="12" t="s">
        <v>125</v>
      </c>
      <c r="J62" s="12" t="s">
        <v>125</v>
      </c>
      <c r="K62" s="7"/>
      <c r="L62" s="8">
        <f t="shared" si="0"/>
        <v>0</v>
      </c>
      <c r="M62" s="74" t="e">
        <f>VLOOKUP(F62,#REF!,#REF!)</f>
        <v>#REF!</v>
      </c>
      <c r="N62" s="18" t="s">
        <v>173</v>
      </c>
      <c r="O62" s="18"/>
    </row>
    <row r="63" spans="1:15" hidden="1" x14ac:dyDescent="0.25">
      <c r="A63" s="10">
        <v>61</v>
      </c>
      <c r="B63" s="85">
        <f>SUBTOTAL(9,$L$3:L63)</f>
        <v>13</v>
      </c>
      <c r="C63" s="81" t="str">
        <f>IF(Жвх.к!$J62=1,Жвх.к!A62,"")</f>
        <v/>
      </c>
      <c r="D63" s="126" t="str">
        <f>IF(Жвх.к!$J63=1,Жвх.к!B63,"")</f>
        <v/>
      </c>
      <c r="E63" s="81" t="str">
        <f>IF(Жвх.к!$J63=1,Жвх.к!C63,"")</f>
        <v/>
      </c>
      <c r="F63" s="81" t="str">
        <f>IF(Жвх.к!$J63=1,Жвх.к!D63,"")</f>
        <v/>
      </c>
      <c r="G63" s="81" t="str">
        <f>IF(Жвх.к!$J63=1,Жвх.к!E63,"")</f>
        <v/>
      </c>
      <c r="H63" s="29" t="s">
        <v>126</v>
      </c>
      <c r="I63" s="12" t="s">
        <v>125</v>
      </c>
      <c r="J63" s="12" t="s">
        <v>125</v>
      </c>
      <c r="K63" s="7"/>
      <c r="L63" s="8">
        <f t="shared" si="0"/>
        <v>0</v>
      </c>
      <c r="M63" s="74" t="e">
        <f>VLOOKUP(F63,#REF!,#REF!)</f>
        <v>#REF!</v>
      </c>
    </row>
    <row r="64" spans="1:15" hidden="1" x14ac:dyDescent="0.25">
      <c r="A64" s="10">
        <v>62</v>
      </c>
      <c r="B64" s="85">
        <f>SUBTOTAL(9,$L$3:L64)</f>
        <v>13</v>
      </c>
      <c r="C64" s="81" t="str">
        <f>IF(Жвх.к!$J63=1,Жвх.к!A63,"")</f>
        <v/>
      </c>
      <c r="D64" s="126" t="str">
        <f>IF(Жвх.к!$J64=1,Жвх.к!B64,"")</f>
        <v/>
      </c>
      <c r="E64" s="81" t="str">
        <f>IF(Жвх.к!$J64=1,Жвх.к!C64,"")</f>
        <v/>
      </c>
      <c r="F64" s="81" t="str">
        <f>IF(Жвх.к!$J64=1,Жвх.к!D64,"")</f>
        <v/>
      </c>
      <c r="G64" s="81" t="str">
        <f>IF(Жвх.к!$J64=1,Жвх.к!E64,"")</f>
        <v/>
      </c>
      <c r="H64" s="29" t="s">
        <v>126</v>
      </c>
      <c r="I64" s="12" t="s">
        <v>125</v>
      </c>
      <c r="J64" s="12" t="s">
        <v>125</v>
      </c>
      <c r="K64" s="7"/>
      <c r="L64" s="8">
        <f t="shared" si="0"/>
        <v>0</v>
      </c>
      <c r="M64" s="74" t="e">
        <f>VLOOKUP(F64,#REF!,#REF!)</f>
        <v>#REF!</v>
      </c>
    </row>
    <row r="65" spans="1:13" hidden="1" x14ac:dyDescent="0.25">
      <c r="A65" s="10">
        <v>63</v>
      </c>
      <c r="B65" s="85">
        <f>SUBTOTAL(9,$L$3:L65)</f>
        <v>13</v>
      </c>
      <c r="C65" s="81" t="str">
        <f>IF(Жвх.к!$J64=1,Жвх.к!A64,"")</f>
        <v/>
      </c>
      <c r="D65" s="126" t="str">
        <f>IF(Жвх.к!$J65=1,Жвх.к!B65,"")</f>
        <v/>
      </c>
      <c r="E65" s="81" t="str">
        <f>IF(Жвх.к!$J65=1,Жвх.к!C65,"")</f>
        <v/>
      </c>
      <c r="F65" s="81" t="str">
        <f>IF(Жвх.к!$J65=1,Жвх.к!D65,"")</f>
        <v/>
      </c>
      <c r="G65" s="81" t="str">
        <f>IF(Жвх.к!$J65=1,Жвх.к!E65,"")</f>
        <v/>
      </c>
      <c r="H65" s="29" t="s">
        <v>126</v>
      </c>
      <c r="I65" s="12" t="s">
        <v>125</v>
      </c>
      <c r="J65" s="12" t="s">
        <v>125</v>
      </c>
      <c r="K65" s="7"/>
      <c r="L65" s="8">
        <f t="shared" si="0"/>
        <v>0</v>
      </c>
      <c r="M65" s="74" t="e">
        <f>VLOOKUP(F65,#REF!,#REF!)</f>
        <v>#REF!</v>
      </c>
    </row>
    <row r="66" spans="1:13" hidden="1" x14ac:dyDescent="0.25">
      <c r="A66" s="10">
        <v>64</v>
      </c>
      <c r="B66" s="85">
        <f>SUBTOTAL(9,$L$3:L66)</f>
        <v>13</v>
      </c>
      <c r="C66" s="81" t="str">
        <f>IF(Жвх.к!$J65=1,Жвх.к!A65,"")</f>
        <v/>
      </c>
      <c r="D66" s="126" t="str">
        <f>IF(Жвх.к!$J66=1,Жвх.к!B66,"")</f>
        <v/>
      </c>
      <c r="E66" s="81" t="str">
        <f>IF(Жвх.к!$J66=1,Жвх.к!C66,"")</f>
        <v/>
      </c>
      <c r="F66" s="81" t="str">
        <f>IF(Жвх.к!$J66=1,Жвх.к!D66,"")</f>
        <v/>
      </c>
      <c r="G66" s="81" t="str">
        <f>IF(Жвх.к!$J66=1,Жвх.к!E66,"")</f>
        <v/>
      </c>
      <c r="H66" s="29" t="s">
        <v>126</v>
      </c>
      <c r="I66" s="12" t="s">
        <v>125</v>
      </c>
      <c r="J66" s="12" t="s">
        <v>125</v>
      </c>
      <c r="K66" s="7"/>
      <c r="L66" s="8">
        <f t="shared" si="0"/>
        <v>0</v>
      </c>
      <c r="M66" s="74" t="e">
        <f>VLOOKUP(F66,#REF!,#REF!)</f>
        <v>#REF!</v>
      </c>
    </row>
    <row r="67" spans="1:13" hidden="1" x14ac:dyDescent="0.25">
      <c r="A67" s="10">
        <v>65</v>
      </c>
      <c r="B67" s="85">
        <f>SUBTOTAL(9,$L$3:L67)</f>
        <v>13</v>
      </c>
      <c r="C67" s="81" t="str">
        <f>IF(Жвх.к!$J66=1,Жвх.к!A66,"")</f>
        <v/>
      </c>
      <c r="D67" s="126" t="str">
        <f>IF(Жвх.к!$J67=1,Жвх.к!B67,"")</f>
        <v/>
      </c>
      <c r="E67" s="81" t="str">
        <f>IF(Жвх.к!$J67=1,Жвх.к!C67,"")</f>
        <v/>
      </c>
      <c r="F67" s="81" t="str">
        <f>IF(Жвх.к!$J67=1,Жвх.к!D67,"")</f>
        <v/>
      </c>
      <c r="G67" s="81" t="str">
        <f>IF(Жвх.к!$J67=1,Жвх.к!E67,"")</f>
        <v/>
      </c>
      <c r="H67" s="29" t="s">
        <v>126</v>
      </c>
      <c r="I67" s="12" t="s">
        <v>125</v>
      </c>
      <c r="J67" s="12" t="s">
        <v>125</v>
      </c>
      <c r="K67" s="7"/>
      <c r="L67" s="8">
        <f t="shared" si="0"/>
        <v>0</v>
      </c>
      <c r="M67" s="74" t="e">
        <f>VLOOKUP(F67,#REF!,#REF!)</f>
        <v>#REF!</v>
      </c>
    </row>
    <row r="68" spans="1:13" hidden="1" x14ac:dyDescent="0.25">
      <c r="A68" s="10">
        <v>66</v>
      </c>
      <c r="B68" s="85">
        <f>SUBTOTAL(9,$L$3:L68)</f>
        <v>13</v>
      </c>
      <c r="C68" s="81" t="str">
        <f>IF(Жвх.к!$J67=1,Жвх.к!A67,"")</f>
        <v/>
      </c>
      <c r="D68" s="126" t="str">
        <f>IF(Жвх.к!$J68=1,Жвх.к!B68,"")</f>
        <v/>
      </c>
      <c r="E68" s="81" t="str">
        <f>IF(Жвх.к!$J68=1,Жвх.к!C68,"")</f>
        <v/>
      </c>
      <c r="F68" s="81" t="str">
        <f>IF(Жвх.к!$J68=1,Жвх.к!D68,"")</f>
        <v/>
      </c>
      <c r="G68" s="81" t="str">
        <f>IF(Жвх.к!$J68=1,Жвх.к!E68,"")</f>
        <v/>
      </c>
      <c r="H68" s="29" t="s">
        <v>126</v>
      </c>
      <c r="I68" s="12" t="s">
        <v>125</v>
      </c>
      <c r="J68" s="12" t="s">
        <v>125</v>
      </c>
      <c r="K68" s="7"/>
      <c r="L68" s="8">
        <f t="shared" ref="L68:L84" si="1">IF(C68="",0,1)</f>
        <v>0</v>
      </c>
      <c r="M68" s="74" t="e">
        <f>VLOOKUP(F68,#REF!,#REF!)</f>
        <v>#REF!</v>
      </c>
    </row>
    <row r="69" spans="1:13" hidden="1" x14ac:dyDescent="0.25">
      <c r="A69" s="10">
        <v>67</v>
      </c>
      <c r="B69" s="85">
        <f>SUBTOTAL(9,$L$3:L69)</f>
        <v>13</v>
      </c>
      <c r="C69" s="81" t="str">
        <f>IF(Жвх.к!$J68=1,Жвх.к!A68,"")</f>
        <v/>
      </c>
      <c r="D69" s="126" t="str">
        <f>IF(Жвх.к!$J69=1,Жвх.к!B69,"")</f>
        <v/>
      </c>
      <c r="E69" s="81" t="str">
        <f>IF(Жвх.к!$J69=1,Жвх.к!C69,"")</f>
        <v/>
      </c>
      <c r="F69" s="81" t="str">
        <f>IF(Жвх.к!$J69=1,Жвх.к!D69,"")</f>
        <v/>
      </c>
      <c r="G69" s="81" t="str">
        <f>IF(Жвх.к!$J69=1,Жвх.к!E69,"")</f>
        <v/>
      </c>
      <c r="H69" s="29" t="s">
        <v>126</v>
      </c>
      <c r="I69" s="12" t="s">
        <v>125</v>
      </c>
      <c r="J69" s="12" t="s">
        <v>125</v>
      </c>
      <c r="K69" s="7"/>
      <c r="L69" s="8">
        <f t="shared" si="1"/>
        <v>0</v>
      </c>
      <c r="M69" s="74" t="e">
        <f>VLOOKUP(F69,#REF!,#REF!)</f>
        <v>#REF!</v>
      </c>
    </row>
    <row r="70" spans="1:13" hidden="1" x14ac:dyDescent="0.25">
      <c r="A70" s="10">
        <v>68</v>
      </c>
      <c r="B70" s="85">
        <f>SUBTOTAL(9,$L$3:L70)</f>
        <v>13</v>
      </c>
      <c r="C70" s="81" t="str">
        <f>IF(Жвх.к!$J69=1,Жвх.к!A69,"")</f>
        <v/>
      </c>
      <c r="D70" s="126" t="str">
        <f>IF(Жвх.к!$J70=1,Жвх.к!B70,"")</f>
        <v/>
      </c>
      <c r="E70" s="81" t="str">
        <f>IF(Жвх.к!$J70=1,Жвх.к!C70,"")</f>
        <v/>
      </c>
      <c r="F70" s="81" t="str">
        <f>IF(Жвх.к!$J70=1,Жвх.к!D70,"")</f>
        <v/>
      </c>
      <c r="G70" s="81" t="str">
        <f>IF(Жвх.к!$J70=1,Жвх.к!E70,"")</f>
        <v/>
      </c>
      <c r="H70" s="29" t="s">
        <v>126</v>
      </c>
      <c r="I70" s="12" t="s">
        <v>125</v>
      </c>
      <c r="J70" s="12" t="s">
        <v>125</v>
      </c>
      <c r="K70" s="7"/>
      <c r="L70" s="8">
        <f t="shared" si="1"/>
        <v>0</v>
      </c>
      <c r="M70" s="74" t="e">
        <f>VLOOKUP(F70,#REF!,#REF!)</f>
        <v>#REF!</v>
      </c>
    </row>
    <row r="71" spans="1:13" hidden="1" x14ac:dyDescent="0.25">
      <c r="A71" s="10">
        <v>69</v>
      </c>
      <c r="B71" s="85">
        <f>SUBTOTAL(9,$L$3:L71)</f>
        <v>13</v>
      </c>
      <c r="C71" s="81" t="str">
        <f>IF(Жвх.к!$J70=1,Жвх.к!A70,"")</f>
        <v/>
      </c>
      <c r="D71" s="126" t="str">
        <f>IF(Жвх.к!$J71=1,Жвх.к!B71,"")</f>
        <v/>
      </c>
      <c r="E71" s="81" t="str">
        <f>IF(Жвх.к!$J71=1,Жвх.к!C71,"")</f>
        <v/>
      </c>
      <c r="F71" s="81" t="str">
        <f>IF(Жвх.к!$J71=1,Жвх.к!D71,"")</f>
        <v/>
      </c>
      <c r="G71" s="81" t="str">
        <f>IF(Жвх.к!$J71=1,Жвх.к!E71,"")</f>
        <v/>
      </c>
      <c r="H71" s="29" t="s">
        <v>126</v>
      </c>
      <c r="I71" s="12" t="s">
        <v>125</v>
      </c>
      <c r="J71" s="12" t="s">
        <v>125</v>
      </c>
      <c r="K71" s="7"/>
      <c r="L71" s="8">
        <f t="shared" si="1"/>
        <v>0</v>
      </c>
      <c r="M71" s="74" t="e">
        <f>VLOOKUP(F71,#REF!,#REF!)</f>
        <v>#REF!</v>
      </c>
    </row>
    <row r="72" spans="1:13" hidden="1" x14ac:dyDescent="0.25">
      <c r="A72" s="10">
        <v>70</v>
      </c>
      <c r="B72" s="85">
        <f>SUBTOTAL(9,$L$3:L72)</f>
        <v>13</v>
      </c>
      <c r="C72" s="81" t="str">
        <f>IF(Жвх.к!$J71=1,Жвх.к!A71,"")</f>
        <v/>
      </c>
      <c r="D72" s="126" t="str">
        <f>IF(Жвх.к!$J72=1,Жвх.к!B72,"")</f>
        <v/>
      </c>
      <c r="E72" s="81" t="str">
        <f>IF(Жвх.к!$J72=1,Жвх.к!C72,"")</f>
        <v/>
      </c>
      <c r="F72" s="81" t="str">
        <f>IF(Жвх.к!$J72=1,Жвх.к!D72,"")</f>
        <v/>
      </c>
      <c r="G72" s="81" t="str">
        <f>IF(Жвх.к!$J72=1,Жвх.к!E72,"")</f>
        <v/>
      </c>
      <c r="H72" s="29" t="s">
        <v>126</v>
      </c>
      <c r="I72" s="12" t="s">
        <v>125</v>
      </c>
      <c r="J72" s="12" t="s">
        <v>125</v>
      </c>
      <c r="K72" s="7"/>
      <c r="L72" s="8">
        <f t="shared" si="1"/>
        <v>0</v>
      </c>
      <c r="M72" s="74" t="e">
        <f>VLOOKUP(F72,#REF!,#REF!)</f>
        <v>#REF!</v>
      </c>
    </row>
    <row r="73" spans="1:13" hidden="1" x14ac:dyDescent="0.25">
      <c r="A73" s="10">
        <v>71</v>
      </c>
      <c r="B73" s="85">
        <f>SUBTOTAL(9,$L$3:L73)</f>
        <v>13</v>
      </c>
      <c r="C73" s="81" t="str">
        <f>IF(Жвх.к!$J72=1,Жвх.к!A72,"")</f>
        <v/>
      </c>
      <c r="D73" s="126" t="str">
        <f>IF(Жвх.к!$J73=1,Жвх.к!B73,"")</f>
        <v/>
      </c>
      <c r="E73" s="81" t="str">
        <f>IF(Жвх.к!$J73=1,Жвх.к!C73,"")</f>
        <v/>
      </c>
      <c r="F73" s="81" t="str">
        <f>IF(Жвх.к!$J73=1,Жвх.к!D73,"")</f>
        <v/>
      </c>
      <c r="G73" s="81" t="str">
        <f>IF(Жвх.к!$J73=1,Жвх.к!E73,"")</f>
        <v/>
      </c>
      <c r="H73" s="29" t="s">
        <v>126</v>
      </c>
      <c r="I73" s="12" t="s">
        <v>125</v>
      </c>
      <c r="J73" s="12" t="s">
        <v>125</v>
      </c>
      <c r="K73" s="7"/>
      <c r="L73" s="8">
        <f t="shared" si="1"/>
        <v>0</v>
      </c>
      <c r="M73" s="74" t="e">
        <f>VLOOKUP(F73,#REF!,#REF!)</f>
        <v>#REF!</v>
      </c>
    </row>
    <row r="74" spans="1:13" hidden="1" x14ac:dyDescent="0.25">
      <c r="A74" s="10">
        <v>72</v>
      </c>
      <c r="B74" s="85">
        <f>SUBTOTAL(9,$L$3:L74)</f>
        <v>13</v>
      </c>
      <c r="C74" s="81" t="str">
        <f>IF(Жвх.к!$J73=1,Жвх.к!A73,"")</f>
        <v/>
      </c>
      <c r="D74" s="126" t="str">
        <f>IF(Жвх.к!$J74=1,Жвх.к!B74,"")</f>
        <v/>
      </c>
      <c r="E74" s="81" t="str">
        <f>IF(Жвх.к!$J74=1,Жвх.к!C74,"")</f>
        <v/>
      </c>
      <c r="F74" s="81" t="str">
        <f>IF(Жвх.к!$J74=1,Жвх.к!D74,"")</f>
        <v/>
      </c>
      <c r="G74" s="81" t="str">
        <f>IF(Жвх.к!$J74=1,Жвх.к!E74,"")</f>
        <v/>
      </c>
      <c r="H74" s="29" t="s">
        <v>126</v>
      </c>
      <c r="I74" s="12" t="s">
        <v>125</v>
      </c>
      <c r="J74" s="12" t="s">
        <v>125</v>
      </c>
      <c r="K74" s="7"/>
      <c r="L74" s="8">
        <f t="shared" si="1"/>
        <v>0</v>
      </c>
      <c r="M74" s="74" t="e">
        <f>VLOOKUP(F74,#REF!,#REF!)</f>
        <v>#REF!</v>
      </c>
    </row>
    <row r="75" spans="1:13" hidden="1" x14ac:dyDescent="0.25">
      <c r="A75" s="10">
        <v>73</v>
      </c>
      <c r="B75" s="85">
        <f>SUBTOTAL(9,$L$3:L75)</f>
        <v>13</v>
      </c>
      <c r="C75" s="81" t="str">
        <f>IF(Жвх.к!$J74=1,Жвх.к!A74,"")</f>
        <v/>
      </c>
      <c r="D75" s="126" t="str">
        <f>IF(Жвх.к!$J75=1,Жвх.к!B75,"")</f>
        <v/>
      </c>
      <c r="E75" s="81" t="str">
        <f>IF(Жвх.к!$J75=1,Жвх.к!C75,"")</f>
        <v/>
      </c>
      <c r="F75" s="81" t="str">
        <f>IF(Жвх.к!$J75=1,Жвх.к!D75,"")</f>
        <v/>
      </c>
      <c r="G75" s="81" t="str">
        <f>IF(Жвх.к!$J75=1,Жвх.к!E75,"")</f>
        <v/>
      </c>
      <c r="H75" s="29" t="s">
        <v>126</v>
      </c>
      <c r="I75" s="12" t="s">
        <v>125</v>
      </c>
      <c r="J75" s="12" t="s">
        <v>125</v>
      </c>
      <c r="K75" s="7"/>
      <c r="L75" s="8">
        <f t="shared" si="1"/>
        <v>0</v>
      </c>
      <c r="M75" s="74" t="e">
        <f>VLOOKUP(F75,#REF!,#REF!)</f>
        <v>#REF!</v>
      </c>
    </row>
    <row r="76" spans="1:13" hidden="1" x14ac:dyDescent="0.25">
      <c r="A76" s="10">
        <v>74</v>
      </c>
      <c r="B76" s="85">
        <f>SUBTOTAL(9,$L$3:L76)</f>
        <v>13</v>
      </c>
      <c r="C76" s="81" t="str">
        <f>IF(Жвх.к!$J75=1,Жвх.к!A75,"")</f>
        <v/>
      </c>
      <c r="D76" s="126" t="str">
        <f>IF(Жвх.к!$J76=1,Жвх.к!B76,"")</f>
        <v/>
      </c>
      <c r="E76" s="81" t="str">
        <f>IF(Жвх.к!$J76=1,Жвх.к!C76,"")</f>
        <v/>
      </c>
      <c r="F76" s="81" t="str">
        <f>IF(Жвх.к!$J76=1,Жвх.к!D76,"")</f>
        <v/>
      </c>
      <c r="G76" s="81" t="str">
        <f>IF(Жвх.к!$J76=1,Жвх.к!E76,"")</f>
        <v/>
      </c>
      <c r="H76" s="29" t="s">
        <v>126</v>
      </c>
      <c r="I76" s="12" t="s">
        <v>125</v>
      </c>
      <c r="J76" s="12" t="s">
        <v>125</v>
      </c>
      <c r="K76" s="7"/>
      <c r="L76" s="8">
        <f t="shared" si="1"/>
        <v>0</v>
      </c>
      <c r="M76" s="74" t="e">
        <f>VLOOKUP(F76,#REF!,#REF!)</f>
        <v>#REF!</v>
      </c>
    </row>
    <row r="77" spans="1:13" hidden="1" x14ac:dyDescent="0.25">
      <c r="A77" s="10">
        <v>75</v>
      </c>
      <c r="B77" s="85">
        <f>SUBTOTAL(9,$L$3:L77)</f>
        <v>13</v>
      </c>
      <c r="C77" s="81" t="str">
        <f>IF(Жвх.к!$J76=1,Жвх.к!A76,"")</f>
        <v/>
      </c>
      <c r="D77" s="126" t="str">
        <f>IF(Жвх.к!$J77=1,Жвх.к!B77,"")</f>
        <v/>
      </c>
      <c r="E77" s="81" t="str">
        <f>IF(Жвх.к!$J77=1,Жвх.к!C77,"")</f>
        <v/>
      </c>
      <c r="F77" s="81" t="str">
        <f>IF(Жвх.к!$J77=1,Жвх.к!D77,"")</f>
        <v/>
      </c>
      <c r="G77" s="81" t="str">
        <f>IF(Жвх.к!$J77=1,Жвх.к!E77,"")</f>
        <v/>
      </c>
      <c r="H77" s="29" t="s">
        <v>126</v>
      </c>
      <c r="I77" s="12" t="s">
        <v>125</v>
      </c>
      <c r="J77" s="12" t="s">
        <v>125</v>
      </c>
      <c r="K77" s="7"/>
      <c r="L77" s="8">
        <f t="shared" si="1"/>
        <v>0</v>
      </c>
      <c r="M77" s="74" t="e">
        <f>VLOOKUP(F77,#REF!,#REF!)</f>
        <v>#REF!</v>
      </c>
    </row>
    <row r="78" spans="1:13" hidden="1" x14ac:dyDescent="0.25">
      <c r="A78" s="10">
        <v>76</v>
      </c>
      <c r="B78" s="85">
        <f>SUBTOTAL(9,$L$3:L78)</f>
        <v>13</v>
      </c>
      <c r="C78" s="81" t="str">
        <f>IF(Жвх.к!$J77=1,Жвх.к!A77,"")</f>
        <v/>
      </c>
      <c r="D78" s="126" t="str">
        <f>IF(Жвх.к!$J78=1,Жвх.к!B78,"")</f>
        <v/>
      </c>
      <c r="E78" s="81" t="str">
        <f>IF(Жвх.к!$J78=1,Жвх.к!C78,"")</f>
        <v/>
      </c>
      <c r="F78" s="81" t="str">
        <f>IF(Жвх.к!$J78=1,Жвх.к!D78,"")</f>
        <v/>
      </c>
      <c r="G78" s="81" t="str">
        <f>IF(Жвх.к!$J78=1,Жвх.к!E78,"")</f>
        <v/>
      </c>
      <c r="H78" s="29" t="s">
        <v>126</v>
      </c>
      <c r="I78" s="12" t="s">
        <v>125</v>
      </c>
      <c r="J78" s="12" t="s">
        <v>125</v>
      </c>
      <c r="K78" s="7"/>
      <c r="L78" s="8">
        <f t="shared" si="1"/>
        <v>0</v>
      </c>
      <c r="M78" s="74" t="e">
        <f>VLOOKUP(F78,#REF!,#REF!)</f>
        <v>#REF!</v>
      </c>
    </row>
    <row r="79" spans="1:13" hidden="1" x14ac:dyDescent="0.25">
      <c r="A79" s="10">
        <v>77</v>
      </c>
      <c r="B79" s="85">
        <f>SUBTOTAL(9,$L$3:L79)</f>
        <v>13</v>
      </c>
      <c r="C79" s="81" t="str">
        <f>IF(Жвх.к!$J78=1,Жвх.к!A78,"")</f>
        <v/>
      </c>
      <c r="D79" s="126" t="str">
        <f>IF(Жвх.к!$J79=1,Жвх.к!B79,"")</f>
        <v/>
      </c>
      <c r="E79" s="81" t="str">
        <f>IF(Жвх.к!$J79=1,Жвх.к!C79,"")</f>
        <v/>
      </c>
      <c r="F79" s="81" t="str">
        <f>IF(Жвх.к!$J79=1,Жвх.к!D79,"")</f>
        <v/>
      </c>
      <c r="G79" s="81" t="str">
        <f>IF(Жвх.к!$J79=1,Жвх.к!E79,"")</f>
        <v/>
      </c>
      <c r="H79" s="29" t="s">
        <v>126</v>
      </c>
      <c r="I79" s="12" t="s">
        <v>125</v>
      </c>
      <c r="J79" s="12" t="s">
        <v>125</v>
      </c>
      <c r="K79" s="7"/>
      <c r="L79" s="8">
        <f t="shared" si="1"/>
        <v>0</v>
      </c>
      <c r="M79" s="74" t="e">
        <f>VLOOKUP(F79,#REF!,#REF!)</f>
        <v>#REF!</v>
      </c>
    </row>
    <row r="80" spans="1:13" hidden="1" x14ac:dyDescent="0.25">
      <c r="A80" s="10">
        <v>78</v>
      </c>
      <c r="B80" s="85">
        <f>SUBTOTAL(9,$L$3:L80)</f>
        <v>13</v>
      </c>
      <c r="C80" s="81" t="str">
        <f>IF(Жвх.к!$J79=1,Жвх.к!A79,"")</f>
        <v/>
      </c>
      <c r="D80" s="126" t="str">
        <f>IF(Жвх.к!$J80=1,Жвх.к!B80,"")</f>
        <v/>
      </c>
      <c r="E80" s="81" t="str">
        <f>IF(Жвх.к!$J80=1,Жвх.к!C80,"")</f>
        <v/>
      </c>
      <c r="F80" s="81" t="str">
        <f>IF(Жвх.к!$J80=1,Жвх.к!D80,"")</f>
        <v/>
      </c>
      <c r="G80" s="81" t="str">
        <f>IF(Жвх.к!$J80=1,Жвх.к!E80,"")</f>
        <v/>
      </c>
      <c r="H80" s="29" t="s">
        <v>126</v>
      </c>
      <c r="I80" s="12" t="s">
        <v>125</v>
      </c>
      <c r="J80" s="12" t="s">
        <v>125</v>
      </c>
      <c r="K80" s="7"/>
      <c r="L80" s="8">
        <f t="shared" si="1"/>
        <v>0</v>
      </c>
      <c r="M80" s="74" t="e">
        <f>VLOOKUP(F80,#REF!,#REF!)</f>
        <v>#REF!</v>
      </c>
    </row>
    <row r="81" spans="1:13" hidden="1" x14ac:dyDescent="0.25">
      <c r="A81" s="10">
        <v>79</v>
      </c>
      <c r="B81" s="85">
        <f>SUBTOTAL(9,$L$3:L81)</f>
        <v>13</v>
      </c>
      <c r="C81" s="81" t="str">
        <f>IF(Жвх.к!$J80=1,Жвх.к!A80,"")</f>
        <v/>
      </c>
      <c r="D81" s="126" t="str">
        <f>IF(Жвх.к!$J81=1,Жвх.к!B81,"")</f>
        <v/>
      </c>
      <c r="E81" s="81" t="str">
        <f>IF(Жвх.к!$J81=1,Жвх.к!C81,"")</f>
        <v/>
      </c>
      <c r="F81" s="81" t="str">
        <f>IF(Жвх.к!$J81=1,Жвх.к!D81,"")</f>
        <v/>
      </c>
      <c r="G81" s="81" t="str">
        <f>IF(Жвх.к!$J81=1,Жвх.к!E81,"")</f>
        <v/>
      </c>
      <c r="H81" s="29" t="s">
        <v>126</v>
      </c>
      <c r="I81" s="12" t="s">
        <v>125</v>
      </c>
      <c r="J81" s="12" t="s">
        <v>125</v>
      </c>
      <c r="K81" s="7"/>
      <c r="L81" s="8">
        <f t="shared" si="1"/>
        <v>0</v>
      </c>
      <c r="M81" s="74" t="e">
        <f>VLOOKUP(F81,#REF!,#REF!)</f>
        <v>#REF!</v>
      </c>
    </row>
    <row r="82" spans="1:13" hidden="1" x14ac:dyDescent="0.25">
      <c r="A82" s="10">
        <v>80</v>
      </c>
      <c r="B82" s="85">
        <f>SUBTOTAL(9,$L$3:L82)</f>
        <v>13</v>
      </c>
      <c r="C82" s="81" t="str">
        <f>IF(Жвх.к!$J81=1,Жвх.к!A81,"")</f>
        <v/>
      </c>
      <c r="D82" s="126" t="str">
        <f>IF(Жвх.к!$J82=1,Жвх.к!B82,"")</f>
        <v/>
      </c>
      <c r="E82" s="81" t="str">
        <f>IF(Жвх.к!$J82=1,Жвх.к!C82,"")</f>
        <v/>
      </c>
      <c r="F82" s="81" t="str">
        <f>IF(Жвх.к!$J82=1,Жвх.к!D82,"")</f>
        <v/>
      </c>
      <c r="G82" s="81" t="str">
        <f>IF(Жвх.к!$J82=1,Жвх.к!E82,"")</f>
        <v/>
      </c>
      <c r="H82" s="29" t="s">
        <v>126</v>
      </c>
      <c r="I82" s="12" t="s">
        <v>125</v>
      </c>
      <c r="J82" s="12" t="s">
        <v>125</v>
      </c>
      <c r="K82" s="7"/>
      <c r="L82" s="8">
        <f t="shared" si="1"/>
        <v>0</v>
      </c>
      <c r="M82" s="74" t="e">
        <f>VLOOKUP(F82,#REF!,#REF!)</f>
        <v>#REF!</v>
      </c>
    </row>
    <row r="83" spans="1:13" hidden="1" x14ac:dyDescent="0.25">
      <c r="A83" s="10">
        <v>81</v>
      </c>
      <c r="B83" s="85">
        <f>SUBTOTAL(9,$L$3:L83)</f>
        <v>13</v>
      </c>
      <c r="C83" s="81" t="str">
        <f>IF(Жвх.к!$J82=1,Жвх.к!A82,"")</f>
        <v/>
      </c>
      <c r="D83" s="126" t="str">
        <f>IF(Жвх.к!$J83=1,Жвх.к!B83,"")</f>
        <v/>
      </c>
      <c r="E83" s="81" t="str">
        <f>IF(Жвх.к!$J83=1,Жвх.к!C83,"")</f>
        <v/>
      </c>
      <c r="F83" s="81" t="str">
        <f>IF(Жвх.к!$J83=1,Жвх.к!D83,"")</f>
        <v/>
      </c>
      <c r="G83" s="81" t="str">
        <f>IF(Жвх.к!$J83=1,Жвх.к!E83,"")</f>
        <v/>
      </c>
      <c r="H83" s="29" t="s">
        <v>126</v>
      </c>
      <c r="I83" s="12" t="s">
        <v>125</v>
      </c>
      <c r="J83" s="12" t="s">
        <v>125</v>
      </c>
      <c r="K83" s="7"/>
      <c r="L83" s="8">
        <f t="shared" si="1"/>
        <v>0</v>
      </c>
      <c r="M83" s="74" t="e">
        <f>VLOOKUP(F83,#REF!,#REF!)</f>
        <v>#REF!</v>
      </c>
    </row>
    <row r="84" spans="1:13" hidden="1" x14ac:dyDescent="0.25">
      <c r="A84" s="10">
        <v>82</v>
      </c>
      <c r="B84" s="85">
        <f>SUBTOTAL(9,$L$3:L84)</f>
        <v>13</v>
      </c>
      <c r="C84" s="81" t="str">
        <f>IF(Жвх.к!$J83=1,Жвх.к!A83,"")</f>
        <v/>
      </c>
      <c r="D84" s="126" t="str">
        <f>IF(Жвх.к!$J84=1,Жвх.к!B84,"")</f>
        <v/>
      </c>
      <c r="E84" s="81" t="str">
        <f>IF(Жвх.к!$J84=1,Жвх.к!C84,"")</f>
        <v/>
      </c>
      <c r="F84" s="81" t="str">
        <f>IF(Жвх.к!$J84=1,Жвх.к!D84,"")</f>
        <v/>
      </c>
      <c r="G84" s="81" t="str">
        <f>IF(Жвх.к!$J84=1,Жвх.к!E84,"")</f>
        <v/>
      </c>
      <c r="H84" s="29" t="s">
        <v>126</v>
      </c>
      <c r="I84" s="12" t="s">
        <v>125</v>
      </c>
      <c r="J84" s="12" t="s">
        <v>125</v>
      </c>
      <c r="K84" s="7"/>
      <c r="L84" s="8">
        <f t="shared" si="1"/>
        <v>0</v>
      </c>
      <c r="M84" s="74" t="e">
        <f>VLOOKUP(F84,#REF!,#REF!)</f>
        <v>#REF!</v>
      </c>
    </row>
    <row r="85" spans="1:13" x14ac:dyDescent="0.25">
      <c r="A85" s="10">
        <v>83</v>
      </c>
      <c r="B85" s="148"/>
      <c r="C85" s="149" t="str">
        <f>IF(Жвх.к!$J70=1,Жвх.к!A70,"")</f>
        <v/>
      </c>
      <c r="D85" s="126" t="str">
        <f>IF(Жвх.к!$J70=1,Жвх.к!B70,"")</f>
        <v/>
      </c>
      <c r="E85" s="81" t="str">
        <f>IF(Жвх.к!$J70=1,Жвх.к!C70,"")</f>
        <v/>
      </c>
      <c r="F85" s="81" t="str">
        <f>IF(Жвх.к!$J70=1,Жвх.к!D70,"")</f>
        <v/>
      </c>
      <c r="G85" s="81" t="str">
        <f>IF(Жвх.к!$J70=1,Жвх.к!E70,"")</f>
        <v/>
      </c>
      <c r="H85" s="29" t="s">
        <v>352</v>
      </c>
      <c r="I85" s="7"/>
      <c r="J85" s="7"/>
      <c r="K85" s="7"/>
      <c r="L85" s="8">
        <v>1</v>
      </c>
    </row>
    <row r="86" spans="1:13" x14ac:dyDescent="0.25">
      <c r="A86" s="10">
        <v>84</v>
      </c>
      <c r="B86" s="85"/>
      <c r="C86" s="81" t="str">
        <f>IF(Жвх.к!$J71=1,Жвх.к!A71,"")</f>
        <v/>
      </c>
      <c r="D86" s="126" t="str">
        <f>IF(Жвх.к!$J71=1,Жвх.к!B71,"")</f>
        <v/>
      </c>
      <c r="E86" s="81" t="str">
        <f>IF(Жвх.к!$J71=1,Жвх.к!C71,"")</f>
        <v/>
      </c>
      <c r="F86" s="81" t="str">
        <f>IF(Жвх.к!$J71=1,Жвх.к!D71,"")</f>
        <v/>
      </c>
      <c r="G86" s="81" t="str">
        <f>IF(Жвх.к!$J71=1,Жвх.к!E71,"")</f>
        <v/>
      </c>
      <c r="H86" s="29" t="str">
        <f>CONCATENATE("Журнал закрыт ",'Жвх.к (т)'!R27)</f>
        <v>Журнал закрыт "12" ноября  2024</v>
      </c>
      <c r="I86" s="7"/>
      <c r="J86" s="7"/>
      <c r="K86" s="7"/>
      <c r="L86" s="8">
        <v>1</v>
      </c>
    </row>
    <row r="87" spans="1:13" x14ac:dyDescent="0.25">
      <c r="A87" s="10">
        <f>A86+1</f>
        <v>85</v>
      </c>
      <c r="B87" s="85"/>
      <c r="C87" s="81" t="str">
        <f>IF(Жвх.к!$J72=1,Жвх.к!A72,"")</f>
        <v/>
      </c>
      <c r="D87" s="126" t="str">
        <f>IF(Жвх.к!$J72=1,Жвх.к!B72,"")</f>
        <v/>
      </c>
      <c r="E87" s="81" t="str">
        <f>IF(Жвх.к!$J72=1,Жвх.к!C72,"")</f>
        <v/>
      </c>
      <c r="F87" s="81" t="str">
        <f>IF(Жвх.к!$J72=1,Жвх.к!D72,"")</f>
        <v/>
      </c>
      <c r="G87" s="81" t="str">
        <f>IF(Жвх.к!$J72=1,Жвх.к!E72,"")</f>
        <v/>
      </c>
      <c r="H87" s="29" t="s">
        <v>352</v>
      </c>
      <c r="I87" s="7"/>
      <c r="J87" s="7"/>
      <c r="K87" s="7"/>
      <c r="L87" s="8">
        <v>1</v>
      </c>
    </row>
    <row r="88" spans="1:13" x14ac:dyDescent="0.25">
      <c r="A88" s="10">
        <f t="shared" ref="A88:A118" si="2">A87+1</f>
        <v>86</v>
      </c>
      <c r="B88" s="85"/>
      <c r="C88" s="81" t="str">
        <f>IF(Жвх.к!$J73=1,Жвх.к!A73,"")</f>
        <v/>
      </c>
      <c r="D88" s="126" t="str">
        <f>IF(Жвх.к!$J73=1,Жвх.к!B73,"")</f>
        <v/>
      </c>
      <c r="E88" s="81" t="str">
        <f>IF(Жвх.к!$J73=1,Жвх.к!C73,"")</f>
        <v/>
      </c>
      <c r="F88" s="81" t="str">
        <f>IF(Жвх.к!$J73=1,Жвх.к!D73,"")</f>
        <v/>
      </c>
      <c r="G88" s="81" t="str">
        <f>IF(Жвх.к!$J73=1,Жвх.к!E73,"")</f>
        <v/>
      </c>
      <c r="H88" s="29" t="s">
        <v>352</v>
      </c>
      <c r="I88" s="7"/>
      <c r="J88" s="7"/>
      <c r="K88" s="7"/>
      <c r="L88" s="8">
        <v>1</v>
      </c>
    </row>
    <row r="89" spans="1:13" x14ac:dyDescent="0.25">
      <c r="A89" s="10">
        <f t="shared" si="2"/>
        <v>87</v>
      </c>
      <c r="B89" s="85"/>
      <c r="C89" s="81" t="str">
        <f>IF(Жвх.к!$J74=1,Жвх.к!A74,"")</f>
        <v/>
      </c>
      <c r="D89" s="126" t="str">
        <f>IF(Жвх.к!$J74=1,Жвх.к!B74,"")</f>
        <v/>
      </c>
      <c r="E89" s="81" t="str">
        <f>IF(Жвх.к!$J74=1,Жвх.к!C74,"")</f>
        <v/>
      </c>
      <c r="F89" s="81" t="str">
        <f>IF(Жвх.к!$J74=1,Жвх.к!D74,"")</f>
        <v/>
      </c>
      <c r="G89" s="81" t="str">
        <f>IF(Жвх.к!$J74=1,Жвх.к!E74,"")</f>
        <v/>
      </c>
      <c r="H89" s="29" t="s">
        <v>352</v>
      </c>
      <c r="I89" s="7"/>
      <c r="J89" s="7"/>
      <c r="K89" s="7"/>
      <c r="L89" s="8">
        <v>1</v>
      </c>
    </row>
    <row r="90" spans="1:13" x14ac:dyDescent="0.25">
      <c r="A90" s="10">
        <f t="shared" si="2"/>
        <v>88</v>
      </c>
      <c r="B90" s="85"/>
      <c r="C90" s="81" t="str">
        <f>IF(Жвх.к!$J75=1,Жвх.к!A75,"")</f>
        <v/>
      </c>
      <c r="D90" s="126" t="str">
        <f>IF(Жвх.к!$J75=1,Жвх.к!B75,"")</f>
        <v/>
      </c>
      <c r="E90" s="81" t="str">
        <f>IF(Жвх.к!$J75=1,Жвх.к!C75,"")</f>
        <v/>
      </c>
      <c r="F90" s="81" t="str">
        <f>IF(Жвх.к!$J75=1,Жвх.к!D75,"")</f>
        <v/>
      </c>
      <c r="G90" s="81" t="str">
        <f>IF(Жвх.к!$J75=1,Жвх.к!E75,"")</f>
        <v/>
      </c>
      <c r="H90" s="29" t="s">
        <v>352</v>
      </c>
      <c r="I90" s="7"/>
      <c r="J90" s="7"/>
      <c r="K90" s="7"/>
      <c r="L90" s="8">
        <v>1</v>
      </c>
    </row>
    <row r="91" spans="1:13" x14ac:dyDescent="0.25">
      <c r="A91" s="10">
        <f t="shared" si="2"/>
        <v>89</v>
      </c>
      <c r="B91" s="85"/>
      <c r="C91" s="81" t="str">
        <f>IF(Жвх.к!$J76=1,Жвх.к!A76,"")</f>
        <v/>
      </c>
      <c r="D91" s="126" t="str">
        <f>IF(Жвх.к!$J76=1,Жвх.к!B76,"")</f>
        <v/>
      </c>
      <c r="E91" s="81" t="str">
        <f>IF(Жвх.к!$J76=1,Жвх.к!C76,"")</f>
        <v/>
      </c>
      <c r="F91" s="81" t="str">
        <f>IF(Жвх.к!$J76=1,Жвх.к!D76,"")</f>
        <v/>
      </c>
      <c r="G91" s="81" t="str">
        <f>IF(Жвх.к!$J76=1,Жвх.к!E76,"")</f>
        <v/>
      </c>
      <c r="H91" s="29" t="s">
        <v>352</v>
      </c>
      <c r="I91" s="7"/>
      <c r="J91" s="7"/>
      <c r="K91" s="7"/>
      <c r="L91" s="8">
        <v>1</v>
      </c>
    </row>
    <row r="92" spans="1:13" x14ac:dyDescent="0.25">
      <c r="A92" s="10">
        <f t="shared" si="2"/>
        <v>90</v>
      </c>
      <c r="B92" s="85"/>
      <c r="C92" s="81" t="str">
        <f>IF(Жвх.к!$J77=1,Жвх.к!A77,"")</f>
        <v/>
      </c>
      <c r="D92" s="126" t="str">
        <f>IF(Жвх.к!$J77=1,Жвх.к!B77,"")</f>
        <v/>
      </c>
      <c r="E92" s="81" t="str">
        <f>IF(Жвх.к!$J77=1,Жвх.к!C77,"")</f>
        <v/>
      </c>
      <c r="F92" s="81" t="str">
        <f>IF(Жвх.к!$J77=1,Жвх.к!D77,"")</f>
        <v/>
      </c>
      <c r="G92" s="81" t="str">
        <f>IF(Жвх.к!$J77=1,Жвх.к!E77,"")</f>
        <v/>
      </c>
      <c r="H92" s="29" t="s">
        <v>352</v>
      </c>
      <c r="I92" s="7"/>
      <c r="J92" s="7"/>
      <c r="K92" s="7"/>
      <c r="L92" s="8">
        <v>1</v>
      </c>
    </row>
    <row r="93" spans="1:13" x14ac:dyDescent="0.25">
      <c r="A93" s="10">
        <f t="shared" si="2"/>
        <v>91</v>
      </c>
      <c r="B93" s="85"/>
      <c r="C93" s="81" t="str">
        <f>IF(Жвх.к!$J78=1,Жвх.к!A78,"")</f>
        <v/>
      </c>
      <c r="D93" s="126" t="str">
        <f>IF(Жвх.к!$J78=1,Жвх.к!B78,"")</f>
        <v/>
      </c>
      <c r="E93" s="81" t="str">
        <f>IF(Жвх.к!$J78=1,Жвх.к!C78,"")</f>
        <v/>
      </c>
      <c r="F93" s="81" t="str">
        <f>IF(Жвх.к!$J78=1,Жвх.к!D78,"")</f>
        <v/>
      </c>
      <c r="G93" s="81" t="str">
        <f>IF(Жвх.к!$J78=1,Жвх.к!E78,"")</f>
        <v/>
      </c>
      <c r="H93" s="29" t="s">
        <v>352</v>
      </c>
      <c r="I93" s="7"/>
      <c r="J93" s="7"/>
      <c r="K93" s="7"/>
      <c r="L93" s="8">
        <v>1</v>
      </c>
    </row>
    <row r="94" spans="1:13" x14ac:dyDescent="0.25">
      <c r="A94" s="10">
        <f t="shared" si="2"/>
        <v>92</v>
      </c>
      <c r="B94" s="85"/>
      <c r="C94" s="81" t="str">
        <f>IF(Жвх.к!$J79=1,Жвх.к!A79,"")</f>
        <v/>
      </c>
      <c r="D94" s="126" t="str">
        <f>IF(Жвх.к!$J79=1,Жвх.к!B79,"")</f>
        <v/>
      </c>
      <c r="E94" s="81" t="str">
        <f>IF(Жвх.к!$J79=1,Жвх.к!C79,"")</f>
        <v/>
      </c>
      <c r="F94" s="81" t="str">
        <f>IF(Жвх.к!$J79=1,Жвх.к!D79,"")</f>
        <v/>
      </c>
      <c r="G94" s="81" t="str">
        <f>IF(Жвх.к!$J79=1,Жвх.к!E79,"")</f>
        <v/>
      </c>
      <c r="H94" s="29" t="s">
        <v>352</v>
      </c>
      <c r="I94" s="7"/>
      <c r="J94" s="7"/>
      <c r="K94" s="7"/>
      <c r="L94" s="8">
        <v>1</v>
      </c>
    </row>
    <row r="95" spans="1:13" x14ac:dyDescent="0.25">
      <c r="A95" s="10">
        <f t="shared" si="2"/>
        <v>93</v>
      </c>
      <c r="B95" s="85"/>
      <c r="C95" s="81" t="str">
        <f>IF(Жвх.к!$J80=1,Жвх.к!A80,"")</f>
        <v/>
      </c>
      <c r="D95" s="126" t="str">
        <f>IF(Жвх.к!$J80=1,Жвх.к!B80,"")</f>
        <v/>
      </c>
      <c r="E95" s="81" t="str">
        <f>IF(Жвх.к!$J80=1,Жвх.к!C80,"")</f>
        <v/>
      </c>
      <c r="F95" s="81" t="str">
        <f>IF(Жвх.к!$J80=1,Жвх.к!D80,"")</f>
        <v/>
      </c>
      <c r="G95" s="81" t="str">
        <f>IF(Жвх.к!$J80=1,Жвх.к!E80,"")</f>
        <v/>
      </c>
      <c r="H95" s="29" t="s">
        <v>352</v>
      </c>
      <c r="I95" s="7"/>
      <c r="J95" s="7"/>
      <c r="K95" s="7"/>
      <c r="L95" s="8">
        <v>1</v>
      </c>
    </row>
    <row r="96" spans="1:13" x14ac:dyDescent="0.25">
      <c r="A96" s="10">
        <f t="shared" si="2"/>
        <v>94</v>
      </c>
      <c r="B96" s="85"/>
      <c r="C96" s="81" t="str">
        <f>IF(Жвх.к!$J81=1,Жвх.к!A81,"")</f>
        <v/>
      </c>
      <c r="D96" s="126" t="str">
        <f>IF(Жвх.к!$J81=1,Жвх.к!B81,"")</f>
        <v/>
      </c>
      <c r="E96" s="81" t="str">
        <f>IF(Жвх.к!$J81=1,Жвх.к!C81,"")</f>
        <v/>
      </c>
      <c r="F96" s="81" t="str">
        <f>IF(Жвх.к!$J81=1,Жвх.к!D81,"")</f>
        <v/>
      </c>
      <c r="G96" s="81" t="str">
        <f>IF(Жвх.к!$J81=1,Жвх.к!E81,"")</f>
        <v/>
      </c>
      <c r="H96" s="29" t="s">
        <v>352</v>
      </c>
      <c r="I96" s="7"/>
      <c r="J96" s="7"/>
      <c r="K96" s="7"/>
      <c r="L96" s="8">
        <v>1</v>
      </c>
    </row>
    <row r="97" spans="1:12" x14ac:dyDescent="0.25">
      <c r="A97" s="10">
        <f t="shared" si="2"/>
        <v>95</v>
      </c>
      <c r="B97" s="85"/>
      <c r="C97" s="81" t="str">
        <f>IF(Жвх.к!$J82=1,Жвх.к!A82,"")</f>
        <v/>
      </c>
      <c r="D97" s="126" t="str">
        <f>IF(Жвх.к!$J82=1,Жвх.к!B82,"")</f>
        <v/>
      </c>
      <c r="E97" s="81" t="str">
        <f>IF(Жвх.к!$J82=1,Жвх.к!C82,"")</f>
        <v/>
      </c>
      <c r="F97" s="81" t="str">
        <f>IF(Жвх.к!$J82=1,Жвх.к!D82,"")</f>
        <v/>
      </c>
      <c r="G97" s="81" t="str">
        <f>IF(Жвх.к!$J82=1,Жвх.к!E82,"")</f>
        <v/>
      </c>
      <c r="H97" s="29" t="s">
        <v>352</v>
      </c>
      <c r="I97" s="7"/>
      <c r="J97" s="7"/>
      <c r="K97" s="7"/>
      <c r="L97" s="8">
        <v>1</v>
      </c>
    </row>
    <row r="98" spans="1:12" x14ac:dyDescent="0.25">
      <c r="A98" s="10">
        <f t="shared" si="2"/>
        <v>96</v>
      </c>
      <c r="B98" s="85"/>
      <c r="C98" s="81" t="str">
        <f>IF(Жвх.к!$J83=1,Жвх.к!A83,"")</f>
        <v/>
      </c>
      <c r="D98" s="126" t="str">
        <f>IF(Жвх.к!$J83=1,Жвх.к!B83,"")</f>
        <v/>
      </c>
      <c r="E98" s="81" t="str">
        <f>IF(Жвх.к!$J83=1,Жвх.к!C83,"")</f>
        <v/>
      </c>
      <c r="F98" s="81" t="str">
        <f>IF(Жвх.к!$J83=1,Жвх.к!D83,"")</f>
        <v/>
      </c>
      <c r="G98" s="81" t="str">
        <f>IF(Жвх.к!$J83=1,Жвх.к!E83,"")</f>
        <v/>
      </c>
      <c r="H98" s="29" t="s">
        <v>352</v>
      </c>
      <c r="I98" s="7"/>
      <c r="J98" s="7"/>
      <c r="K98" s="7"/>
      <c r="L98" s="8">
        <v>1</v>
      </c>
    </row>
    <row r="99" spans="1:12" x14ac:dyDescent="0.25">
      <c r="A99" s="10">
        <f t="shared" si="2"/>
        <v>97</v>
      </c>
      <c r="B99" s="85"/>
      <c r="C99" s="81" t="str">
        <f>IF(Жвх.к!$J84=1,Жвх.к!A84,"")</f>
        <v/>
      </c>
      <c r="D99" s="126" t="str">
        <f>IF(Жвх.к!$J84=1,Жвх.к!B84,"")</f>
        <v/>
      </c>
      <c r="E99" s="81" t="str">
        <f>IF(Жвх.к!$J84=1,Жвх.к!C84,"")</f>
        <v/>
      </c>
      <c r="F99" s="81" t="str">
        <f>IF(Жвх.к!$J84=1,Жвх.к!D84,"")</f>
        <v/>
      </c>
      <c r="G99" s="81" t="str">
        <f>IF(Жвх.к!$J84=1,Жвх.к!E84,"")</f>
        <v/>
      </c>
      <c r="H99" s="29" t="s">
        <v>352</v>
      </c>
      <c r="I99" s="7"/>
      <c r="J99" s="7"/>
      <c r="K99" s="7"/>
      <c r="L99" s="8">
        <v>1</v>
      </c>
    </row>
    <row r="100" spans="1:12" x14ac:dyDescent="0.25">
      <c r="A100" s="10">
        <f t="shared" si="2"/>
        <v>98</v>
      </c>
      <c r="B100" s="85"/>
      <c r="C100" s="81" t="str">
        <f>IF(Жвх.к!$J85=1,Жвх.к!A85,"")</f>
        <v/>
      </c>
      <c r="D100" s="126" t="str">
        <f>IF(Жвх.к!$J85=1,Жвх.к!B85,"")</f>
        <v/>
      </c>
      <c r="E100" s="81" t="str">
        <f>IF(Жвх.к!$J85=1,Жвх.к!C85,"")</f>
        <v/>
      </c>
      <c r="F100" s="81" t="str">
        <f>IF(Жвх.к!$J85=1,Жвх.к!D85,"")</f>
        <v/>
      </c>
      <c r="G100" s="81" t="str">
        <f>IF(Жвх.к!$J85=1,Жвх.к!E85,"")</f>
        <v/>
      </c>
      <c r="H100" s="29" t="s">
        <v>352</v>
      </c>
      <c r="I100" s="7"/>
      <c r="J100" s="7"/>
      <c r="K100" s="7"/>
      <c r="L100" s="8">
        <v>1</v>
      </c>
    </row>
    <row r="101" spans="1:12" x14ac:dyDescent="0.25">
      <c r="A101" s="10">
        <f t="shared" si="2"/>
        <v>99</v>
      </c>
      <c r="B101" s="85"/>
      <c r="C101" s="81" t="str">
        <f>IF(Жвх.к!$J86=1,Жвх.к!A86,"")</f>
        <v/>
      </c>
      <c r="D101" s="126" t="str">
        <f>IF(Жвх.к!$J86=1,Жвх.к!B86,"")</f>
        <v/>
      </c>
      <c r="E101" s="81" t="str">
        <f>IF(Жвх.к!$J86=1,Жвх.к!C86,"")</f>
        <v/>
      </c>
      <c r="F101" s="81" t="str">
        <f>IF(Жвх.к!$J86=1,Жвх.к!D86,"")</f>
        <v/>
      </c>
      <c r="G101" s="81" t="str">
        <f>IF(Жвх.к!$J86=1,Жвх.к!E86,"")</f>
        <v/>
      </c>
      <c r="H101" s="29" t="s">
        <v>352</v>
      </c>
      <c r="I101" s="7"/>
      <c r="J101" s="7"/>
      <c r="K101" s="7"/>
      <c r="L101" s="8">
        <v>1</v>
      </c>
    </row>
    <row r="102" spans="1:12" x14ac:dyDescent="0.25">
      <c r="A102" s="10">
        <f t="shared" si="2"/>
        <v>100</v>
      </c>
      <c r="B102" s="85"/>
      <c r="C102" s="81" t="str">
        <f>IF(Жвх.к!$J87=1,Жвх.к!A87,"")</f>
        <v/>
      </c>
      <c r="D102" s="126" t="str">
        <f>IF(Жвх.к!$J87=1,Жвх.к!B87,"")</f>
        <v/>
      </c>
      <c r="E102" s="81" t="str">
        <f>IF(Жвх.к!$J87=1,Жвх.к!C87,"")</f>
        <v/>
      </c>
      <c r="F102" s="81" t="str">
        <f>IF(Жвх.к!$J87=1,Жвх.к!D87,"")</f>
        <v/>
      </c>
      <c r="G102" s="81" t="str">
        <f>IF(Жвх.к!$J87=1,Жвх.к!E87,"")</f>
        <v/>
      </c>
      <c r="H102" s="29" t="s">
        <v>352</v>
      </c>
      <c r="I102" s="7"/>
      <c r="J102" s="7"/>
      <c r="K102" s="7"/>
      <c r="L102" s="8">
        <v>1</v>
      </c>
    </row>
    <row r="103" spans="1:12" x14ac:dyDescent="0.25">
      <c r="A103" s="10">
        <f t="shared" si="2"/>
        <v>101</v>
      </c>
      <c r="B103" s="85"/>
      <c r="C103" s="81" t="str">
        <f>IF(Жвх.к!$J88=1,Жвх.к!A88,"")</f>
        <v/>
      </c>
      <c r="D103" s="126" t="str">
        <f>IF(Жвх.к!$J88=1,Жвх.к!B88,"")</f>
        <v/>
      </c>
      <c r="E103" s="81" t="str">
        <f>IF(Жвх.к!$J88=1,Жвх.к!C88,"")</f>
        <v/>
      </c>
      <c r="F103" s="81" t="str">
        <f>IF(Жвх.к!$J88=1,Жвх.к!D88,"")</f>
        <v/>
      </c>
      <c r="G103" s="81" t="str">
        <f>IF(Жвх.к!$J88=1,Жвх.к!E88,"")</f>
        <v/>
      </c>
      <c r="H103" s="29" t="s">
        <v>352</v>
      </c>
      <c r="I103" s="7"/>
      <c r="J103" s="7"/>
      <c r="K103" s="7"/>
      <c r="L103" s="8">
        <v>1</v>
      </c>
    </row>
    <row r="104" spans="1:12" x14ac:dyDescent="0.25">
      <c r="A104" s="10">
        <f t="shared" si="2"/>
        <v>102</v>
      </c>
      <c r="B104" s="85"/>
      <c r="C104" s="81" t="str">
        <f>IF(Жвх.к!$J89=1,Жвх.к!A89,"")</f>
        <v/>
      </c>
      <c r="D104" s="126" t="str">
        <f>IF(Жвх.к!$J89=1,Жвх.к!B89,"")</f>
        <v/>
      </c>
      <c r="E104" s="81" t="str">
        <f>IF(Жвх.к!$J89=1,Жвх.к!C89,"")</f>
        <v/>
      </c>
      <c r="F104" s="81" t="str">
        <f>IF(Жвх.к!$J89=1,Жвх.к!D89,"")</f>
        <v/>
      </c>
      <c r="G104" s="81" t="str">
        <f>IF(Жвх.к!$J89=1,Жвх.к!E89,"")</f>
        <v/>
      </c>
      <c r="H104" s="29" t="s">
        <v>352</v>
      </c>
      <c r="I104" s="7"/>
      <c r="J104" s="7"/>
      <c r="K104" s="7"/>
      <c r="L104" s="8">
        <v>1</v>
      </c>
    </row>
    <row r="105" spans="1:12" x14ac:dyDescent="0.25">
      <c r="A105" s="10">
        <f t="shared" si="2"/>
        <v>103</v>
      </c>
      <c r="B105" s="85"/>
      <c r="C105" s="81" t="str">
        <f>IF(Жвх.к!$J90=1,Жвх.к!A90,"")</f>
        <v/>
      </c>
      <c r="D105" s="126" t="str">
        <f>IF(Жвх.к!$J90=1,Жвх.к!B90,"")</f>
        <v/>
      </c>
      <c r="E105" s="81" t="str">
        <f>IF(Жвх.к!$J90=1,Жвх.к!C90,"")</f>
        <v/>
      </c>
      <c r="F105" s="81" t="str">
        <f>IF(Жвх.к!$J90=1,Жвх.к!D90,"")</f>
        <v/>
      </c>
      <c r="G105" s="81" t="str">
        <f>IF(Жвх.к!$J90=1,Жвх.к!E90,"")</f>
        <v/>
      </c>
      <c r="H105" s="29" t="s">
        <v>352</v>
      </c>
      <c r="I105" s="7"/>
      <c r="J105" s="7"/>
      <c r="K105" s="7"/>
      <c r="L105" s="8">
        <v>1</v>
      </c>
    </row>
    <row r="106" spans="1:12" x14ac:dyDescent="0.25">
      <c r="A106" s="10">
        <f t="shared" si="2"/>
        <v>104</v>
      </c>
      <c r="B106" s="85"/>
      <c r="C106" s="81" t="str">
        <f>IF(Жвх.к!$J91=1,Жвх.к!A91,"")</f>
        <v/>
      </c>
      <c r="D106" s="126" t="str">
        <f>IF(Жвх.к!$J91=1,Жвх.к!B91,"")</f>
        <v/>
      </c>
      <c r="E106" s="81" t="str">
        <f>IF(Жвх.к!$J91=1,Жвх.к!C91,"")</f>
        <v/>
      </c>
      <c r="F106" s="81" t="str">
        <f>IF(Жвх.к!$J91=1,Жвх.к!D91,"")</f>
        <v/>
      </c>
      <c r="G106" s="81" t="str">
        <f>IF(Жвх.к!$J91=1,Жвх.к!E91,"")</f>
        <v/>
      </c>
      <c r="H106" s="29" t="s">
        <v>352</v>
      </c>
      <c r="I106" s="7"/>
      <c r="J106" s="7"/>
      <c r="K106" s="7"/>
      <c r="L106" s="8">
        <v>1</v>
      </c>
    </row>
    <row r="107" spans="1:12" x14ac:dyDescent="0.25">
      <c r="A107" s="10">
        <f t="shared" si="2"/>
        <v>105</v>
      </c>
      <c r="B107" s="85"/>
      <c r="C107" s="81" t="str">
        <f>IF(Жвх.к!$J92=1,Жвх.к!A92,"")</f>
        <v/>
      </c>
      <c r="D107" s="126" t="str">
        <f>IF(Жвх.к!$J92=1,Жвх.к!B92,"")</f>
        <v/>
      </c>
      <c r="E107" s="81" t="str">
        <f>IF(Жвх.к!$J92=1,Жвх.к!C92,"")</f>
        <v/>
      </c>
      <c r="F107" s="81" t="str">
        <f>IF(Жвх.к!$J92=1,Жвх.к!D92,"")</f>
        <v/>
      </c>
      <c r="G107" s="81" t="str">
        <f>IF(Жвх.к!$J92=1,Жвх.к!E92,"")</f>
        <v/>
      </c>
      <c r="H107" s="29" t="s">
        <v>352</v>
      </c>
      <c r="I107" s="7"/>
      <c r="J107" s="7"/>
      <c r="K107" s="7"/>
      <c r="L107" s="8">
        <v>1</v>
      </c>
    </row>
    <row r="108" spans="1:12" x14ac:dyDescent="0.25">
      <c r="A108" s="10">
        <f t="shared" si="2"/>
        <v>106</v>
      </c>
      <c r="B108" s="85"/>
      <c r="C108" s="81" t="str">
        <f>IF(Жвх.к!$J93=1,Жвх.к!A93,"")</f>
        <v/>
      </c>
      <c r="D108" s="126" t="str">
        <f>IF(Жвх.к!$J93=1,Жвх.к!B93,"")</f>
        <v/>
      </c>
      <c r="E108" s="81" t="str">
        <f>IF(Жвх.к!$J93=1,Жвх.к!C93,"")</f>
        <v/>
      </c>
      <c r="F108" s="81" t="str">
        <f>IF(Жвх.к!$J93=1,Жвх.к!D93,"")</f>
        <v/>
      </c>
      <c r="G108" s="81" t="str">
        <f>IF(Жвх.к!$J93=1,Жвх.к!E93,"")</f>
        <v/>
      </c>
      <c r="H108" s="29" t="s">
        <v>352</v>
      </c>
      <c r="I108" s="7"/>
      <c r="J108" s="7"/>
      <c r="K108" s="7"/>
      <c r="L108" s="8">
        <v>1</v>
      </c>
    </row>
    <row r="109" spans="1:12" x14ac:dyDescent="0.25">
      <c r="A109" s="10">
        <f t="shared" si="2"/>
        <v>107</v>
      </c>
      <c r="B109" s="85"/>
      <c r="C109" s="81" t="str">
        <f>IF(Жвх.к!$J94=1,Жвх.к!A94,"")</f>
        <v/>
      </c>
      <c r="D109" s="126" t="str">
        <f>IF(Жвх.к!$J94=1,Жвх.к!B94,"")</f>
        <v/>
      </c>
      <c r="E109" s="81" t="str">
        <f>IF(Жвх.к!$J94=1,Жвх.к!C94,"")</f>
        <v/>
      </c>
      <c r="F109" s="81" t="str">
        <f>IF(Жвх.к!$J94=1,Жвх.к!D94,"")</f>
        <v/>
      </c>
      <c r="G109" s="81" t="str">
        <f>IF(Жвх.к!$J94=1,Жвх.к!E94,"")</f>
        <v/>
      </c>
      <c r="H109" s="29" t="s">
        <v>352</v>
      </c>
      <c r="I109" s="7"/>
      <c r="J109" s="7"/>
      <c r="K109" s="7"/>
      <c r="L109" s="8">
        <v>1</v>
      </c>
    </row>
    <row r="110" spans="1:12" x14ac:dyDescent="0.25">
      <c r="A110" s="10">
        <f t="shared" si="2"/>
        <v>108</v>
      </c>
      <c r="B110" s="85"/>
      <c r="C110" s="81" t="str">
        <f>IF(Жвх.к!$J95=1,Жвх.к!A95,"")</f>
        <v/>
      </c>
      <c r="D110" s="126" t="str">
        <f>IF(Жвх.к!$J95=1,Жвх.к!B95,"")</f>
        <v/>
      </c>
      <c r="E110" s="81" t="str">
        <f>IF(Жвх.к!$J95=1,Жвх.к!C95,"")</f>
        <v/>
      </c>
      <c r="F110" s="81" t="str">
        <f>IF(Жвх.к!$J95=1,Жвх.к!D95,"")</f>
        <v/>
      </c>
      <c r="G110" s="81" t="str">
        <f>IF(Жвх.к!$J95=1,Жвх.к!E95,"")</f>
        <v/>
      </c>
      <c r="H110" s="29" t="s">
        <v>352</v>
      </c>
      <c r="I110" s="7"/>
      <c r="J110" s="7"/>
      <c r="K110" s="7"/>
      <c r="L110" s="8">
        <v>1</v>
      </c>
    </row>
    <row r="111" spans="1:12" x14ac:dyDescent="0.25">
      <c r="A111" s="10">
        <f t="shared" si="2"/>
        <v>109</v>
      </c>
      <c r="B111" s="85"/>
      <c r="C111" s="81" t="str">
        <f>IF(Жвх.к!$J96=1,Жвх.к!A96,"")</f>
        <v/>
      </c>
      <c r="D111" s="126" t="str">
        <f>IF(Жвх.к!$J96=1,Жвх.к!B96,"")</f>
        <v/>
      </c>
      <c r="E111" s="81" t="str">
        <f>IF(Жвх.к!$J96=1,Жвх.к!C96,"")</f>
        <v/>
      </c>
      <c r="F111" s="81" t="str">
        <f>IF(Жвх.к!$J96=1,Жвх.к!D96,"")</f>
        <v/>
      </c>
      <c r="G111" s="81" t="str">
        <f>IF(Жвх.к!$J96=1,Жвх.к!E96,"")</f>
        <v/>
      </c>
      <c r="H111" s="29" t="s">
        <v>352</v>
      </c>
      <c r="I111" s="7"/>
      <c r="J111" s="7"/>
      <c r="K111" s="7"/>
      <c r="L111" s="8">
        <v>1</v>
      </c>
    </row>
    <row r="112" spans="1:12" x14ac:dyDescent="0.25">
      <c r="A112" s="10">
        <f t="shared" si="2"/>
        <v>110</v>
      </c>
      <c r="B112" s="85"/>
      <c r="C112" s="81" t="str">
        <f>IF(Жвх.к!$J97=1,Жвх.к!A97,"")</f>
        <v/>
      </c>
      <c r="D112" s="126" t="str">
        <f>IF(Жвх.к!$J97=1,Жвх.к!B97,"")</f>
        <v/>
      </c>
      <c r="E112" s="81" t="str">
        <f>IF(Жвх.к!$J97=1,Жвх.к!C97,"")</f>
        <v/>
      </c>
      <c r="F112" s="81" t="str">
        <f>IF(Жвх.к!$J97=1,Жвх.к!D97,"")</f>
        <v/>
      </c>
      <c r="G112" s="81" t="str">
        <f>IF(Жвх.к!$J97=1,Жвх.к!E97,"")</f>
        <v/>
      </c>
      <c r="H112" s="29" t="s">
        <v>352</v>
      </c>
      <c r="I112" s="7"/>
      <c r="J112" s="7"/>
      <c r="K112" s="7"/>
      <c r="L112" s="8">
        <v>1</v>
      </c>
    </row>
    <row r="113" spans="1:12" x14ac:dyDescent="0.25">
      <c r="A113" s="10">
        <f t="shared" si="2"/>
        <v>111</v>
      </c>
      <c r="B113" s="85"/>
      <c r="C113" s="81" t="str">
        <f>IF(Жвх.к!$J98=1,Жвх.к!A98,"")</f>
        <v/>
      </c>
      <c r="D113" s="126" t="str">
        <f>IF(Жвх.к!$J98=1,Жвх.к!B98,"")</f>
        <v/>
      </c>
      <c r="E113" s="81" t="str">
        <f>IF(Жвх.к!$J98=1,Жвх.к!C98,"")</f>
        <v/>
      </c>
      <c r="F113" s="81" t="str">
        <f>IF(Жвх.к!$J98=1,Жвх.к!D98,"")</f>
        <v/>
      </c>
      <c r="G113" s="81" t="str">
        <f>IF(Жвх.к!$J98=1,Жвх.к!E98,"")</f>
        <v/>
      </c>
      <c r="H113" s="29" t="s">
        <v>352</v>
      </c>
      <c r="I113" s="7"/>
      <c r="J113" s="7"/>
      <c r="K113" s="7"/>
      <c r="L113" s="8">
        <v>1</v>
      </c>
    </row>
    <row r="114" spans="1:12" x14ac:dyDescent="0.25">
      <c r="A114" s="10">
        <f t="shared" si="2"/>
        <v>112</v>
      </c>
      <c r="B114" s="85"/>
      <c r="C114" s="81" t="str">
        <f>IF(Жвх.к!$J99=1,Жвх.к!A99,"")</f>
        <v/>
      </c>
      <c r="D114" s="126" t="str">
        <f>IF(Жвх.к!$J99=1,Жвх.к!B99,"")</f>
        <v/>
      </c>
      <c r="E114" s="81" t="str">
        <f>IF(Жвх.к!$J99=1,Жвх.к!C99,"")</f>
        <v/>
      </c>
      <c r="F114" s="81" t="str">
        <f>IF(Жвх.к!$J99=1,Жвх.к!D99,"")</f>
        <v/>
      </c>
      <c r="G114" s="81" t="str">
        <f>IF(Жвх.к!$J99=1,Жвх.к!E99,"")</f>
        <v/>
      </c>
      <c r="H114" s="29" t="s">
        <v>352</v>
      </c>
      <c r="I114" s="7"/>
      <c r="J114" s="7"/>
      <c r="K114" s="7"/>
      <c r="L114" s="8">
        <v>1</v>
      </c>
    </row>
    <row r="115" spans="1:12" x14ac:dyDescent="0.25">
      <c r="A115" s="10">
        <f t="shared" si="2"/>
        <v>113</v>
      </c>
      <c r="B115" s="85"/>
      <c r="C115" s="81" t="str">
        <f>IF(Жвх.к!$J100=1,Жвх.к!A100,"")</f>
        <v/>
      </c>
      <c r="D115" s="126" t="str">
        <f>IF(Жвх.к!$J100=1,Жвх.к!B100,"")</f>
        <v/>
      </c>
      <c r="E115" s="81" t="str">
        <f>IF(Жвх.к!$J100=1,Жвх.к!C100,"")</f>
        <v/>
      </c>
      <c r="F115" s="81" t="str">
        <f>IF(Жвх.к!$J100=1,Жвх.к!D100,"")</f>
        <v/>
      </c>
      <c r="G115" s="81" t="str">
        <f>IF(Жвх.к!$J100=1,Жвх.к!E100,"")</f>
        <v/>
      </c>
      <c r="H115" s="29" t="s">
        <v>352</v>
      </c>
      <c r="I115" s="7"/>
      <c r="J115" s="7"/>
      <c r="K115" s="7"/>
      <c r="L115" s="8">
        <v>1</v>
      </c>
    </row>
    <row r="116" spans="1:12" x14ac:dyDescent="0.25">
      <c r="A116" s="10">
        <f t="shared" si="2"/>
        <v>114</v>
      </c>
      <c r="B116" s="85"/>
      <c r="C116" s="81" t="str">
        <f>IF(Жвх.к!$J101=1,Жвх.к!A101,"")</f>
        <v/>
      </c>
      <c r="D116" s="126" t="str">
        <f>IF(Жвх.к!$J101=1,Жвх.к!B101,"")</f>
        <v/>
      </c>
      <c r="E116" s="81" t="str">
        <f>IF(Жвх.к!$J101=1,Жвх.к!C101,"")</f>
        <v/>
      </c>
      <c r="F116" s="81" t="str">
        <f>IF(Жвх.к!$J101=1,Жвх.к!D101,"")</f>
        <v/>
      </c>
      <c r="G116" s="81" t="str">
        <f>IF(Жвх.к!$J101=1,Жвх.к!E101,"")</f>
        <v/>
      </c>
      <c r="H116" s="29" t="s">
        <v>352</v>
      </c>
      <c r="I116" s="7"/>
      <c r="J116" s="7"/>
      <c r="K116" s="7"/>
      <c r="L116" s="8">
        <v>1</v>
      </c>
    </row>
    <row r="117" spans="1:12" x14ac:dyDescent="0.25">
      <c r="A117" s="10">
        <f t="shared" si="2"/>
        <v>115</v>
      </c>
      <c r="B117" s="85"/>
      <c r="C117" s="81" t="str">
        <f>IF(Жвх.к!$J102=1,Жвх.к!A102,"")</f>
        <v/>
      </c>
      <c r="D117" s="126" t="str">
        <f>IF(Жвх.к!$J102=1,Жвх.к!B102,"")</f>
        <v/>
      </c>
      <c r="E117" s="81" t="str">
        <f>IF(Жвх.к!$J102=1,Жвх.к!C102,"")</f>
        <v/>
      </c>
      <c r="F117" s="81" t="str">
        <f>IF(Жвх.к!$J102=1,Жвх.к!D102,"")</f>
        <v/>
      </c>
      <c r="G117" s="81" t="str">
        <f>IF(Жвх.к!$J102=1,Жвх.к!E102,"")</f>
        <v/>
      </c>
      <c r="H117" s="29" t="s">
        <v>352</v>
      </c>
      <c r="I117" s="7"/>
      <c r="J117" s="7"/>
      <c r="K117" s="7"/>
      <c r="L117" s="8">
        <v>1</v>
      </c>
    </row>
    <row r="118" spans="1:12" x14ac:dyDescent="0.25">
      <c r="A118" s="10">
        <f t="shared" si="2"/>
        <v>116</v>
      </c>
      <c r="B118" s="85"/>
      <c r="C118" s="81" t="str">
        <f>IF(Жвх.к!$J103=1,Жвх.к!A103,"")</f>
        <v/>
      </c>
      <c r="D118" s="126" t="str">
        <f>IF(Жвх.к!$J103=1,Жвх.к!B103,"")</f>
        <v/>
      </c>
      <c r="E118" s="81" t="str">
        <f>IF(Жвх.к!$J103=1,Жвх.к!C103,"")</f>
        <v/>
      </c>
      <c r="F118" s="81" t="str">
        <f>IF(Жвх.к!$J103=1,Жвх.к!D103,"")</f>
        <v/>
      </c>
      <c r="G118" s="81" t="str">
        <f>IF(Жвх.к!$J103=1,Жвх.к!E103,"")</f>
        <v/>
      </c>
      <c r="H118" s="29" t="s">
        <v>352</v>
      </c>
      <c r="I118" s="7"/>
      <c r="J118" s="7"/>
      <c r="K118" s="7"/>
      <c r="L118" s="8">
        <v>1</v>
      </c>
    </row>
    <row r="194" spans="4:13" ht="69" x14ac:dyDescent="0.25">
      <c r="D194" s="80" t="s">
        <v>161</v>
      </c>
      <c r="E194" s="55" t="s">
        <v>168</v>
      </c>
      <c r="F194" s="82" t="s">
        <v>162</v>
      </c>
      <c r="G194" s="82" t="s">
        <v>163</v>
      </c>
      <c r="H194" s="12" t="s">
        <v>126</v>
      </c>
      <c r="I194" s="12" t="s">
        <v>125</v>
      </c>
      <c r="J194" s="12" t="s">
        <v>125</v>
      </c>
      <c r="K194" s="15"/>
      <c r="L194" s="8">
        <f t="shared" ref="L194:L203" si="3">IF(AND(C194="",C193=""),0,1)</f>
        <v>0</v>
      </c>
      <c r="M194" s="75" t="s">
        <v>167</v>
      </c>
    </row>
    <row r="195" spans="4:13" ht="69" x14ac:dyDescent="0.25">
      <c r="D195" s="80" t="s">
        <v>154</v>
      </c>
      <c r="E195" s="55" t="s">
        <v>155</v>
      </c>
      <c r="F195" s="84" t="s">
        <v>156</v>
      </c>
      <c r="G195" s="82" t="s">
        <v>157</v>
      </c>
      <c r="H195" s="12" t="s">
        <v>126</v>
      </c>
      <c r="I195" s="12" t="s">
        <v>125</v>
      </c>
      <c r="J195" s="12" t="s">
        <v>125</v>
      </c>
      <c r="K195" s="15"/>
      <c r="L195" s="8">
        <f t="shared" si="3"/>
        <v>0</v>
      </c>
      <c r="M195" s="74" t="s">
        <v>165</v>
      </c>
    </row>
    <row r="196" spans="4:13" ht="69" x14ac:dyDescent="0.25">
      <c r="D196" s="80" t="s">
        <v>158</v>
      </c>
      <c r="E196" s="55" t="s">
        <v>159</v>
      </c>
      <c r="F196" s="84" t="s">
        <v>156</v>
      </c>
      <c r="G196" s="82" t="s">
        <v>157</v>
      </c>
      <c r="H196" s="12" t="s">
        <v>126</v>
      </c>
      <c r="I196" s="12" t="s">
        <v>125</v>
      </c>
      <c r="J196" s="12" t="s">
        <v>125</v>
      </c>
      <c r="K196" s="15"/>
      <c r="L196" s="8">
        <f t="shared" si="3"/>
        <v>0</v>
      </c>
      <c r="M196" s="74" t="s">
        <v>165</v>
      </c>
    </row>
    <row r="197" spans="4:13" ht="69" x14ac:dyDescent="0.25">
      <c r="D197" s="80" t="s">
        <v>160</v>
      </c>
      <c r="E197" s="55" t="s">
        <v>169</v>
      </c>
      <c r="F197" s="84" t="s">
        <v>156</v>
      </c>
      <c r="G197" s="82" t="s">
        <v>157</v>
      </c>
      <c r="H197" s="12" t="s">
        <v>126</v>
      </c>
      <c r="I197" s="12" t="s">
        <v>125</v>
      </c>
      <c r="J197" s="12" t="s">
        <v>125</v>
      </c>
      <c r="K197" s="15"/>
      <c r="L197" s="8">
        <f t="shared" si="3"/>
        <v>0</v>
      </c>
      <c r="M197" s="74" t="s">
        <v>165</v>
      </c>
    </row>
    <row r="198" spans="4:13" ht="69" x14ac:dyDescent="0.25">
      <c r="D198" s="80" t="s">
        <v>151</v>
      </c>
      <c r="E198" s="55" t="s">
        <v>170</v>
      </c>
      <c r="F198" s="82" t="s">
        <v>152</v>
      </c>
      <c r="G198" s="82" t="s">
        <v>153</v>
      </c>
      <c r="H198" s="12" t="s">
        <v>126</v>
      </c>
      <c r="I198" s="12" t="s">
        <v>125</v>
      </c>
      <c r="J198" s="12" t="s">
        <v>125</v>
      </c>
      <c r="K198" s="15"/>
      <c r="L198" s="8">
        <f t="shared" si="3"/>
        <v>0</v>
      </c>
      <c r="M198" s="74" t="s">
        <v>166</v>
      </c>
    </row>
    <row r="199" spans="4:13" ht="82.8" x14ac:dyDescent="0.25">
      <c r="D199" s="80" t="s">
        <v>143</v>
      </c>
      <c r="E199" s="55" t="s">
        <v>144</v>
      </c>
      <c r="F199" s="82" t="s">
        <v>145</v>
      </c>
      <c r="G199" s="82" t="s">
        <v>146</v>
      </c>
      <c r="H199" s="12" t="s">
        <v>126</v>
      </c>
      <c r="I199" s="12" t="s">
        <v>125</v>
      </c>
      <c r="J199" s="12" t="s">
        <v>125</v>
      </c>
      <c r="K199" s="12"/>
      <c r="L199" s="8">
        <f t="shared" si="3"/>
        <v>0</v>
      </c>
      <c r="M199" s="74" t="s">
        <v>164</v>
      </c>
    </row>
    <row r="200" spans="4:13" ht="69" x14ac:dyDescent="0.25">
      <c r="D200" s="80" t="s">
        <v>147</v>
      </c>
      <c r="E200" s="55" t="s">
        <v>142</v>
      </c>
      <c r="F200" s="82" t="s">
        <v>148</v>
      </c>
      <c r="G200" s="82" t="s">
        <v>149</v>
      </c>
      <c r="H200" s="12" t="s">
        <v>126</v>
      </c>
      <c r="I200" s="12" t="s">
        <v>125</v>
      </c>
      <c r="J200" s="12" t="s">
        <v>125</v>
      </c>
      <c r="K200" s="12"/>
      <c r="L200" s="8">
        <f t="shared" si="3"/>
        <v>0</v>
      </c>
      <c r="M200" s="74" t="s">
        <v>172</v>
      </c>
    </row>
    <row r="201" spans="4:13" ht="69" x14ac:dyDescent="0.25">
      <c r="D201" s="80" t="s">
        <v>147</v>
      </c>
      <c r="E201" s="55" t="s">
        <v>142</v>
      </c>
      <c r="F201" s="82" t="s">
        <v>148</v>
      </c>
      <c r="G201" s="82" t="s">
        <v>150</v>
      </c>
      <c r="H201" s="12" t="s">
        <v>126</v>
      </c>
      <c r="I201" s="12" t="s">
        <v>125</v>
      </c>
      <c r="J201" s="12" t="s">
        <v>125</v>
      </c>
      <c r="K201" s="12"/>
      <c r="L201" s="8">
        <f t="shared" si="3"/>
        <v>0</v>
      </c>
      <c r="M201" s="74" t="s">
        <v>172</v>
      </c>
    </row>
    <row r="202" spans="4:13" x14ac:dyDescent="0.25">
      <c r="D202" s="80"/>
      <c r="E202" s="55"/>
      <c r="F202" s="82"/>
      <c r="G202" s="82"/>
      <c r="H202" s="12"/>
      <c r="I202" s="12"/>
      <c r="J202" s="12"/>
      <c r="K202" s="24"/>
      <c r="L202" s="8">
        <f t="shared" si="3"/>
        <v>0</v>
      </c>
    </row>
    <row r="203" spans="4:13" x14ac:dyDescent="0.25">
      <c r="D203" s="83" t="s">
        <v>171</v>
      </c>
      <c r="E203" s="55"/>
      <c r="F203" s="82"/>
      <c r="G203" s="82"/>
      <c r="H203" s="12"/>
      <c r="I203" s="12"/>
      <c r="J203" s="12"/>
      <c r="K203" s="24"/>
      <c r="L203" s="8">
        <f t="shared" si="3"/>
        <v>0</v>
      </c>
    </row>
  </sheetData>
  <autoFilter ref="B1:N118" xr:uid="{00000000-0001-0000-0200-000000000000}">
    <filterColumn colId="10">
      <filters>
        <filter val="1"/>
        <filter val="11"/>
      </filters>
    </filterColumn>
  </autoFilter>
  <pageMargins left="0.11811023622047245" right="0.11811023622047245" top="0.74803149606299213" bottom="0.15748031496062992" header="0.31496062992125984" footer="0.31496062992125984"/>
  <pageSetup paperSize="9" scale="8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K89"/>
  <sheetViews>
    <sheetView tabSelected="1" view="pageBreakPreview" zoomScale="60" zoomScaleNormal="100" workbookViewId="0"/>
  </sheetViews>
  <sheetFormatPr defaultColWidth="9.109375" defaultRowHeight="13.8" x14ac:dyDescent="0.25"/>
  <cols>
    <col min="1" max="1" width="9.109375" style="8"/>
    <col min="2" max="2" width="7.44140625" style="8" customWidth="1"/>
    <col min="3" max="3" width="7.5546875" style="8" customWidth="1"/>
    <col min="4" max="4" width="8.33203125" style="8" customWidth="1"/>
    <col min="5" max="5" width="17.6640625" style="8" customWidth="1"/>
    <col min="6" max="6" width="14.44140625" style="8" customWidth="1"/>
    <col min="7" max="7" width="10.6640625" style="8" customWidth="1"/>
    <col min="8" max="8" width="11.44140625" style="8" customWidth="1"/>
    <col min="9" max="9" width="11.6640625" style="8" customWidth="1"/>
    <col min="10" max="10" width="9.109375" style="8"/>
    <col min="11" max="11" width="11.109375" style="8" customWidth="1"/>
    <col min="12" max="16384" width="9.109375" style="8"/>
  </cols>
  <sheetData>
    <row r="1" spans="1:11" x14ac:dyDescent="0.25">
      <c r="H1" s="8" t="s">
        <v>5</v>
      </c>
    </row>
    <row r="2" spans="1:11" x14ac:dyDescent="0.25">
      <c r="H2" s="8" t="s">
        <v>6</v>
      </c>
    </row>
    <row r="3" spans="1:11" ht="5.25" customHeight="1" x14ac:dyDescent="0.25">
      <c r="K3" s="76"/>
    </row>
    <row r="4" spans="1:11" ht="14.4" thickBot="1" x14ac:dyDescent="0.3">
      <c r="A4" s="180" t="s">
        <v>7</v>
      </c>
      <c r="B4" s="180"/>
      <c r="C4" s="180"/>
      <c r="D4" s="180"/>
      <c r="E4" s="180"/>
      <c r="F4" s="180"/>
      <c r="G4" s="180"/>
      <c r="H4" s="180"/>
      <c r="I4" s="180"/>
      <c r="K4" s="77" t="str">
        <f ca="1">MID(CELL("имяфайла",A1),SEARCH("]",CELL("имяфайла",A1))+1,LEN(CELL("имяфайла",A1)))</f>
        <v>АВК 3</v>
      </c>
    </row>
    <row r="5" spans="1:11" ht="10.5" customHeight="1" x14ac:dyDescent="0.25">
      <c r="F5" s="181" t="s">
        <v>95</v>
      </c>
      <c r="G5" s="182"/>
      <c r="H5" s="182"/>
      <c r="I5" s="183"/>
      <c r="K5" s="78">
        <f ca="1">RIGHT(K4,LEN(K4)-4)+2</f>
        <v>5</v>
      </c>
    </row>
    <row r="6" spans="1:11" ht="14.4" thickBot="1" x14ac:dyDescent="0.3">
      <c r="F6" s="184"/>
      <c r="G6" s="185"/>
      <c r="H6" s="185"/>
      <c r="I6" s="186"/>
      <c r="K6" s="79"/>
    </row>
    <row r="7" spans="1:11" x14ac:dyDescent="0.25">
      <c r="F7" s="187" t="s">
        <v>8</v>
      </c>
      <c r="G7" s="187"/>
      <c r="H7" s="187"/>
      <c r="I7" s="187"/>
    </row>
    <row r="8" spans="1:11" ht="46.8" customHeight="1" x14ac:dyDescent="0.25">
      <c r="A8" s="8" t="s">
        <v>9</v>
      </c>
      <c r="D8" s="188" t="str">
        <f>'Жвх.к (т)'!C17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E8" s="188"/>
      <c r="F8" s="188"/>
      <c r="G8" s="188"/>
      <c r="H8" s="188"/>
      <c r="I8" s="188"/>
    </row>
    <row r="9" spans="1:11" x14ac:dyDescent="0.25">
      <c r="A9" s="189" t="s">
        <v>10</v>
      </c>
      <c r="B9" s="189"/>
      <c r="C9" s="189"/>
      <c r="D9" s="190" t="s">
        <v>96</v>
      </c>
      <c r="E9" s="190"/>
      <c r="F9" s="190"/>
      <c r="G9" s="190"/>
      <c r="H9" s="190"/>
      <c r="I9" s="190"/>
    </row>
    <row r="11" spans="1:11" x14ac:dyDescent="0.25">
      <c r="A11" s="180" t="str">
        <f ca="1">CONCATENATE("АКТ № ",INDIRECT("'Форма журнала'!R"&amp;K5&amp;"C2",0))</f>
        <v>АКТ № 1</v>
      </c>
      <c r="B11" s="180"/>
      <c r="C11" s="180"/>
      <c r="D11" s="180"/>
      <c r="E11" s="180"/>
      <c r="F11" s="180"/>
      <c r="G11" s="180"/>
      <c r="H11" s="180"/>
      <c r="I11" s="180"/>
    </row>
    <row r="12" spans="1:11" x14ac:dyDescent="0.25">
      <c r="A12" s="180" t="s">
        <v>11</v>
      </c>
      <c r="B12" s="180"/>
      <c r="C12" s="180"/>
      <c r="D12" s="180"/>
      <c r="E12" s="180"/>
      <c r="F12" s="180"/>
      <c r="G12" s="180"/>
      <c r="H12" s="180"/>
      <c r="I12" s="180"/>
    </row>
    <row r="13" spans="1:11" x14ac:dyDescent="0.25">
      <c r="A13" s="172"/>
      <c r="B13" s="172"/>
      <c r="G13" s="193">
        <f ca="1">INDIRECT("'Форма журнала'!R"&amp;K5&amp;"C3",0)</f>
        <v>45607</v>
      </c>
      <c r="H13" s="193"/>
      <c r="I13" s="193"/>
    </row>
    <row r="14" spans="1:11" x14ac:dyDescent="0.25">
      <c r="A14" s="191" t="s">
        <v>12</v>
      </c>
      <c r="B14" s="191"/>
    </row>
    <row r="15" spans="1:11" x14ac:dyDescent="0.25">
      <c r="A15" s="8" t="s">
        <v>13</v>
      </c>
      <c r="C15" s="192" t="str">
        <f>'Жвх.к (т)'!B7</f>
        <v>ООО «СЭТ»</v>
      </c>
      <c r="D15" s="192"/>
      <c r="E15" s="192"/>
      <c r="F15" s="41" t="s">
        <v>523</v>
      </c>
      <c r="G15" s="41"/>
      <c r="H15" s="41"/>
      <c r="I15" s="41"/>
    </row>
    <row r="16" spans="1:11" x14ac:dyDescent="0.25">
      <c r="C16" s="19" t="s">
        <v>22</v>
      </c>
    </row>
    <row r="17" spans="1:9" x14ac:dyDescent="0.25">
      <c r="A17" s="8" t="s">
        <v>34</v>
      </c>
      <c r="C17" s="19"/>
    </row>
    <row r="18" spans="1:9" ht="30.75" customHeight="1" x14ac:dyDescent="0.3">
      <c r="A18" s="179" t="str">
        <f>CONCATENATE(ПОДПИСИ!B7," ",ПОДПИСИ!C7)</f>
        <v>Директор по строительству ООО «СЭТ» Потоцкий А.А.</v>
      </c>
      <c r="B18" s="179"/>
      <c r="C18" s="179"/>
      <c r="D18" s="179"/>
      <c r="E18" s="179"/>
      <c r="F18" s="179"/>
      <c r="G18" s="179"/>
      <c r="H18" s="179"/>
      <c r="I18" s="179"/>
    </row>
    <row r="19" spans="1:9" x14ac:dyDescent="0.25">
      <c r="A19" s="8" t="s">
        <v>23</v>
      </c>
    </row>
    <row r="20" spans="1:9" x14ac:dyDescent="0.25">
      <c r="B20" s="174" t="str">
        <f>CONCATENATE(ПОДПИСИ!B9," ",ПОДПИСИ!C9)</f>
        <v>Начальник участка ООО «СЭТ» Нугуманов М.А.</v>
      </c>
      <c r="C20" s="174"/>
      <c r="D20" s="174"/>
      <c r="E20" s="174"/>
      <c r="F20" s="174"/>
      <c r="G20" s="174"/>
      <c r="H20" s="174"/>
      <c r="I20" s="174"/>
    </row>
    <row r="21" spans="1:9" ht="9" customHeight="1" x14ac:dyDescent="0.25">
      <c r="B21" s="173" t="s">
        <v>24</v>
      </c>
      <c r="C21" s="173"/>
      <c r="D21" s="173"/>
      <c r="E21" s="173"/>
      <c r="F21" s="173"/>
      <c r="G21" s="173"/>
      <c r="H21" s="173"/>
      <c r="I21" s="173"/>
    </row>
    <row r="22" spans="1:9" ht="30.75" customHeight="1" x14ac:dyDescent="0.25">
      <c r="B22" s="174" t="str">
        <f>CONCATENATE(ПОДПИСИ!B11," ",ПОДПИСИ!C11)</f>
        <v>Ведущий инженер строительного контроля ООО «СЭТ» Кольцов А.Г.</v>
      </c>
      <c r="C22" s="174"/>
      <c r="D22" s="174"/>
      <c r="E22" s="174"/>
      <c r="F22" s="174"/>
      <c r="G22" s="174"/>
      <c r="H22" s="174"/>
      <c r="I22" s="174"/>
    </row>
    <row r="23" spans="1:9" ht="11.25" customHeight="1" x14ac:dyDescent="0.25">
      <c r="B23" s="173" t="s">
        <v>24</v>
      </c>
      <c r="C23" s="173"/>
      <c r="D23" s="173"/>
      <c r="E23" s="173"/>
      <c r="F23" s="173"/>
      <c r="G23" s="173"/>
      <c r="H23" s="173"/>
      <c r="I23" s="173"/>
    </row>
    <row r="24" spans="1:9" x14ac:dyDescent="0.25">
      <c r="B24" s="172"/>
      <c r="C24" s="172"/>
      <c r="D24" s="172"/>
      <c r="E24" s="172"/>
      <c r="F24" s="172"/>
      <c r="G24" s="172"/>
      <c r="H24" s="172"/>
      <c r="I24" s="172"/>
    </row>
    <row r="25" spans="1:9" ht="10.5" customHeight="1" x14ac:dyDescent="0.25">
      <c r="B25" s="173" t="s">
        <v>24</v>
      </c>
      <c r="C25" s="173"/>
      <c r="D25" s="173"/>
      <c r="E25" s="173"/>
      <c r="F25" s="173"/>
      <c r="G25" s="173"/>
      <c r="H25" s="173"/>
      <c r="I25" s="173"/>
    </row>
    <row r="26" spans="1:9" x14ac:dyDescent="0.25">
      <c r="A26" s="8" t="s">
        <v>25</v>
      </c>
    </row>
    <row r="27" spans="1:9" ht="29.25" customHeight="1" x14ac:dyDescent="0.25">
      <c r="A27" s="174" t="s">
        <v>102</v>
      </c>
      <c r="B27" s="174"/>
      <c r="C27" s="174"/>
      <c r="D27" s="174"/>
      <c r="E27" s="174"/>
      <c r="F27" s="174"/>
      <c r="G27" s="174"/>
      <c r="H27" s="174"/>
      <c r="I27" s="174"/>
    </row>
    <row r="28" spans="1:9" x14ac:dyDescent="0.25">
      <c r="A28" s="175" t="s">
        <v>26</v>
      </c>
      <c r="B28" s="175"/>
      <c r="C28" s="175"/>
      <c r="D28" s="175"/>
      <c r="E28" s="175"/>
      <c r="F28" s="175"/>
      <c r="G28" s="175"/>
      <c r="H28" s="175"/>
      <c r="I28" s="175"/>
    </row>
    <row r="29" spans="1:9" x14ac:dyDescent="0.25">
      <c r="A29" s="176" t="s">
        <v>27</v>
      </c>
      <c r="B29" s="176"/>
      <c r="C29" s="176"/>
      <c r="D29" s="176"/>
      <c r="E29" s="176"/>
      <c r="F29" s="176"/>
      <c r="G29" s="176"/>
      <c r="H29" s="176"/>
      <c r="I29" s="176"/>
    </row>
    <row r="30" spans="1:9" x14ac:dyDescent="0.25">
      <c r="A30" s="177" t="s">
        <v>28</v>
      </c>
      <c r="B30" s="177"/>
      <c r="C30" s="177"/>
      <c r="D30" s="177"/>
      <c r="E30" s="177"/>
      <c r="F30" s="177"/>
      <c r="G30" s="177"/>
      <c r="H30" s="177"/>
      <c r="I30" s="177"/>
    </row>
    <row r="31" spans="1:9" ht="30.75" customHeight="1" x14ac:dyDescent="0.25">
      <c r="A31" s="174" t="str">
        <f ca="1">INDIRECT("'Форма журнала'!R"&amp;K5&amp;"C4",0)</f>
        <v>Разъединитель линейный качающего типа, с полимерными изоляторами РЛК.1б-10.IV/630 УХЛ1</v>
      </c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5" t="s">
        <v>29</v>
      </c>
      <c r="B32" s="175"/>
      <c r="C32" s="175"/>
      <c r="D32" s="175"/>
      <c r="E32" s="175"/>
      <c r="F32" s="175"/>
      <c r="G32" s="175"/>
      <c r="H32" s="175"/>
      <c r="I32" s="175"/>
    </row>
    <row r="33" spans="1:11" x14ac:dyDescent="0.25">
      <c r="A33" s="178" t="s">
        <v>30</v>
      </c>
      <c r="B33" s="178"/>
      <c r="C33" s="178"/>
      <c r="D33" s="178"/>
      <c r="E33" s="178"/>
      <c r="F33" s="178"/>
      <c r="G33" s="178"/>
      <c r="H33" s="178"/>
      <c r="I33" s="178"/>
    </row>
    <row r="34" spans="1:11" ht="27" customHeight="1" x14ac:dyDescent="0.25">
      <c r="A34" s="194" t="str">
        <f ca="1">INDIRECT("'Форма журнала'!R"&amp;K5&amp;"C7",0)</f>
        <v>Сертификат соответствия РОСС RU.З2001.04ИБФ1.ОСП20.18595 с 20.04.2022 по 19.04.2025</v>
      </c>
      <c r="B34" s="194"/>
      <c r="C34" s="194"/>
      <c r="D34" s="194"/>
      <c r="E34" s="194"/>
      <c r="F34" s="20" t="s">
        <v>31</v>
      </c>
      <c r="G34" s="195"/>
      <c r="H34" s="195"/>
      <c r="I34" s="195"/>
    </row>
    <row r="35" spans="1:11" x14ac:dyDescent="0.25">
      <c r="A35" s="175" t="s">
        <v>33</v>
      </c>
      <c r="B35" s="175"/>
      <c r="C35" s="175"/>
      <c r="D35" s="175"/>
      <c r="E35" s="175"/>
      <c r="F35" s="21"/>
      <c r="G35" s="175" t="s">
        <v>32</v>
      </c>
      <c r="H35" s="175"/>
      <c r="I35" s="175"/>
    </row>
    <row r="36" spans="1:11" x14ac:dyDescent="0.25">
      <c r="A36" s="177" t="s">
        <v>104</v>
      </c>
      <c r="B36" s="177"/>
      <c r="C36" s="192" t="str">
        <f ca="1">INDIRECT("'Форма журнала'!R"&amp;K5&amp;"C5",0)</f>
        <v>1 шт.</v>
      </c>
      <c r="D36" s="192"/>
      <c r="E36" s="192"/>
      <c r="F36" s="26" t="s">
        <v>68</v>
      </c>
      <c r="G36" s="196"/>
      <c r="H36" s="196"/>
      <c r="I36" s="196"/>
    </row>
    <row r="37" spans="1:11" x14ac:dyDescent="0.25">
      <c r="A37" s="21"/>
      <c r="B37" s="21"/>
      <c r="C37" s="175" t="s">
        <v>35</v>
      </c>
      <c r="D37" s="175"/>
      <c r="E37" s="175"/>
      <c r="F37" s="21"/>
      <c r="G37" s="191" t="s">
        <v>36</v>
      </c>
      <c r="H37" s="191"/>
      <c r="I37" s="191"/>
    </row>
    <row r="38" spans="1:11" ht="28.8" customHeight="1" x14ac:dyDescent="0.25">
      <c r="A38" s="177" t="s">
        <v>37</v>
      </c>
      <c r="B38" s="177"/>
      <c r="C38" s="174" t="str">
        <f ca="1">INDIRECT("'Форма журнала'!R"&amp;K5&amp;"C6",0)</f>
        <v>ООО "КАСПИЙ-ЭЛЕКТРО"</v>
      </c>
      <c r="D38" s="174"/>
      <c r="E38" s="174"/>
      <c r="F38" s="20" t="s">
        <v>38</v>
      </c>
      <c r="G38" s="195"/>
      <c r="H38" s="195"/>
      <c r="I38" s="195"/>
      <c r="K38" s="28"/>
    </row>
    <row r="39" spans="1:11" x14ac:dyDescent="0.25">
      <c r="A39" s="22"/>
      <c r="B39" s="22"/>
      <c r="C39" s="175" t="s">
        <v>39</v>
      </c>
      <c r="D39" s="175"/>
      <c r="E39" s="175"/>
      <c r="F39" s="20"/>
      <c r="G39" s="191" t="s">
        <v>40</v>
      </c>
      <c r="H39" s="191"/>
      <c r="I39" s="191"/>
    </row>
    <row r="40" spans="1:11" x14ac:dyDescent="0.25">
      <c r="A40" s="22" t="s">
        <v>41</v>
      </c>
      <c r="B40" s="22"/>
      <c r="C40" s="21"/>
      <c r="D40" s="21"/>
      <c r="E40" s="21"/>
      <c r="F40" s="197" t="s">
        <v>101</v>
      </c>
      <c r="G40" s="197"/>
      <c r="H40" s="197"/>
      <c r="I40" s="197"/>
    </row>
    <row r="41" spans="1:11" x14ac:dyDescent="0.25">
      <c r="F41" s="198" t="s">
        <v>42</v>
      </c>
      <c r="G41" s="198"/>
      <c r="H41" s="198"/>
      <c r="I41" s="198"/>
    </row>
    <row r="42" spans="1:11" x14ac:dyDescent="0.25">
      <c r="A42" s="199" t="s">
        <v>43</v>
      </c>
      <c r="B42" s="199"/>
      <c r="C42" s="199"/>
      <c r="D42" s="199"/>
      <c r="E42" s="199"/>
      <c r="F42" s="199"/>
      <c r="G42" s="199"/>
      <c r="H42" s="199"/>
      <c r="I42" s="199"/>
    </row>
    <row r="43" spans="1:11" ht="30" customHeight="1" x14ac:dyDescent="0.25">
      <c r="A43" s="202" t="s">
        <v>14</v>
      </c>
      <c r="B43" s="202"/>
      <c r="C43" s="202"/>
      <c r="D43" s="202"/>
      <c r="E43" s="202" t="s">
        <v>17</v>
      </c>
      <c r="F43" s="202" t="s">
        <v>18</v>
      </c>
      <c r="G43" s="202" t="s">
        <v>19</v>
      </c>
      <c r="H43" s="202" t="s">
        <v>20</v>
      </c>
      <c r="I43" s="202" t="s">
        <v>21</v>
      </c>
    </row>
    <row r="44" spans="1:11" ht="32.25" customHeight="1" x14ac:dyDescent="0.25">
      <c r="A44" s="202" t="s">
        <v>15</v>
      </c>
      <c r="B44" s="202"/>
      <c r="C44" s="202" t="s">
        <v>16</v>
      </c>
      <c r="D44" s="202"/>
      <c r="E44" s="202"/>
      <c r="F44" s="202"/>
      <c r="G44" s="202"/>
      <c r="H44" s="202"/>
      <c r="I44" s="202"/>
    </row>
    <row r="45" spans="1:11" x14ac:dyDescent="0.25">
      <c r="A45" s="201">
        <v>1</v>
      </c>
      <c r="B45" s="201"/>
      <c r="C45" s="201">
        <v>2</v>
      </c>
      <c r="D45" s="201"/>
      <c r="E45" s="23">
        <v>3</v>
      </c>
      <c r="F45" s="23">
        <v>4</v>
      </c>
      <c r="G45" s="23">
        <v>5</v>
      </c>
      <c r="H45" s="23">
        <v>6</v>
      </c>
      <c r="I45" s="23">
        <v>7</v>
      </c>
    </row>
    <row r="46" spans="1:11" x14ac:dyDescent="0.25">
      <c r="A46" s="24" t="str">
        <f ca="1">C36</f>
        <v>1 шт.</v>
      </c>
      <c r="B46" s="24"/>
      <c r="C46" s="24"/>
      <c r="D46" s="24"/>
      <c r="E46" s="24"/>
      <c r="F46" s="24"/>
      <c r="G46" s="24"/>
      <c r="H46" s="24"/>
      <c r="I46" s="24" t="s">
        <v>127</v>
      </c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00" t="s">
        <v>44</v>
      </c>
      <c r="B48" s="200"/>
      <c r="C48" s="200"/>
      <c r="D48" s="200"/>
      <c r="E48" s="200"/>
      <c r="F48" s="200"/>
      <c r="G48" s="200"/>
      <c r="H48" s="200"/>
      <c r="I48" s="200"/>
    </row>
    <row r="49" spans="1:9" x14ac:dyDescent="0.25">
      <c r="A49" s="189" t="s">
        <v>45</v>
      </c>
      <c r="B49" s="189"/>
      <c r="C49" s="189"/>
      <c r="D49" s="189"/>
      <c r="E49" s="189"/>
      <c r="F49" s="192" t="s">
        <v>97</v>
      </c>
      <c r="G49" s="192"/>
      <c r="H49" s="192"/>
      <c r="I49" s="192"/>
    </row>
    <row r="50" spans="1:9" ht="10.5" customHeight="1" x14ac:dyDescent="0.25">
      <c r="A50" s="25"/>
      <c r="B50" s="25"/>
      <c r="C50" s="25"/>
      <c r="D50" s="25"/>
      <c r="E50" s="25"/>
      <c r="F50" s="198" t="s">
        <v>47</v>
      </c>
      <c r="G50" s="198"/>
      <c r="H50" s="198"/>
      <c r="I50" s="198"/>
    </row>
    <row r="51" spans="1:9" ht="15" customHeight="1" x14ac:dyDescent="0.25">
      <c r="A51" s="189" t="s">
        <v>46</v>
      </c>
      <c r="B51" s="189"/>
      <c r="C51" s="189"/>
      <c r="D51" s="189"/>
      <c r="E51" s="189"/>
      <c r="F51" s="192" t="s">
        <v>95</v>
      </c>
      <c r="G51" s="192"/>
      <c r="H51" s="192"/>
      <c r="I51" s="192"/>
    </row>
    <row r="52" spans="1:9" ht="12.75" customHeight="1" x14ac:dyDescent="0.25">
      <c r="F52" s="198" t="s">
        <v>48</v>
      </c>
      <c r="G52" s="198"/>
      <c r="H52" s="198"/>
      <c r="I52" s="198"/>
    </row>
    <row r="53" spans="1:9" x14ac:dyDescent="0.25">
      <c r="A53" s="189" t="s">
        <v>49</v>
      </c>
      <c r="B53" s="189"/>
      <c r="C53" s="189"/>
      <c r="D53" s="189"/>
      <c r="E53" s="189"/>
      <c r="F53" s="192" t="s">
        <v>95</v>
      </c>
      <c r="G53" s="192"/>
      <c r="H53" s="192"/>
      <c r="I53" s="192"/>
    </row>
    <row r="54" spans="1:9" ht="11.25" customHeight="1" x14ac:dyDescent="0.25">
      <c r="F54" s="198" t="s">
        <v>48</v>
      </c>
      <c r="G54" s="198"/>
      <c r="H54" s="198"/>
      <c r="I54" s="198"/>
    </row>
    <row r="55" spans="1:9" x14ac:dyDescent="0.25">
      <c r="A55" s="189" t="s">
        <v>50</v>
      </c>
      <c r="B55" s="189"/>
      <c r="C55" s="189"/>
      <c r="D55" s="189"/>
      <c r="E55" s="189"/>
      <c r="F55" s="192" t="s">
        <v>95</v>
      </c>
      <c r="G55" s="192"/>
      <c r="H55" s="192"/>
      <c r="I55" s="192"/>
    </row>
    <row r="56" spans="1:9" ht="10.5" customHeight="1" x14ac:dyDescent="0.25">
      <c r="F56" s="198" t="s">
        <v>48</v>
      </c>
      <c r="G56" s="198"/>
      <c r="H56" s="198"/>
      <c r="I56" s="198"/>
    </row>
    <row r="57" spans="1:9" ht="15" customHeight="1" x14ac:dyDescent="0.25">
      <c r="A57" s="189" t="s">
        <v>51</v>
      </c>
      <c r="B57" s="189"/>
      <c r="C57" s="189"/>
      <c r="D57" s="189"/>
      <c r="E57" s="189"/>
      <c r="F57" s="192" t="str">
        <f ca="1">IF(OR(INDIRECT("'Форма журнала'!R"&amp;K5&amp;"C13",0)="",INDIRECT("'Форма журнала'!R"&amp;K5&amp;"C13",0)=0),"отсутствует",INDIRECT("'Форма журнала'!R"&amp;K5&amp;"C13",0))</f>
        <v>Отсутствует</v>
      </c>
      <c r="G57" s="192"/>
      <c r="H57" s="192"/>
      <c r="I57" s="192"/>
    </row>
    <row r="58" spans="1:9" ht="9.75" customHeight="1" x14ac:dyDescent="0.25">
      <c r="F58" s="198" t="s">
        <v>48</v>
      </c>
      <c r="G58" s="198"/>
      <c r="H58" s="198"/>
      <c r="I58" s="198"/>
    </row>
    <row r="59" spans="1:9" x14ac:dyDescent="0.25">
      <c r="A59" s="189" t="s">
        <v>52</v>
      </c>
      <c r="B59" s="189"/>
      <c r="C59" s="189"/>
      <c r="D59" s="189"/>
      <c r="E59" s="189"/>
      <c r="F59" s="189"/>
      <c r="G59" s="189"/>
      <c r="H59" s="192" t="s">
        <v>98</v>
      </c>
      <c r="I59" s="192"/>
    </row>
    <row r="60" spans="1:9" x14ac:dyDescent="0.25">
      <c r="H60" s="203" t="s">
        <v>53</v>
      </c>
      <c r="I60" s="203"/>
    </row>
    <row r="61" spans="1:9" x14ac:dyDescent="0.25">
      <c r="A61" s="8" t="s">
        <v>54</v>
      </c>
      <c r="B61" s="192" t="s">
        <v>99</v>
      </c>
      <c r="C61" s="192"/>
      <c r="D61" s="192"/>
      <c r="E61" s="8" t="s">
        <v>55</v>
      </c>
      <c r="F61" s="192" t="s">
        <v>100</v>
      </c>
      <c r="G61" s="192"/>
      <c r="H61" s="192"/>
      <c r="I61" s="192"/>
    </row>
    <row r="62" spans="1:9" x14ac:dyDescent="0.25">
      <c r="B62" s="203" t="s">
        <v>57</v>
      </c>
      <c r="C62" s="203"/>
      <c r="D62" s="203"/>
      <c r="F62" s="198" t="s">
        <v>56</v>
      </c>
      <c r="G62" s="198"/>
      <c r="H62" s="198"/>
      <c r="I62" s="198"/>
    </row>
    <row r="63" spans="1:9" x14ac:dyDescent="0.25">
      <c r="A63" s="189" t="s">
        <v>58</v>
      </c>
      <c r="B63" s="189"/>
      <c r="C63" s="189"/>
      <c r="D63" s="189"/>
      <c r="E63" s="189"/>
      <c r="F63" s="189"/>
      <c r="G63" s="189"/>
      <c r="H63" s="189"/>
      <c r="I63" s="189"/>
    </row>
    <row r="64" spans="1:9" x14ac:dyDescent="0.25">
      <c r="A64" s="172"/>
      <c r="B64" s="172"/>
      <c r="C64" s="172"/>
      <c r="D64" s="172"/>
      <c r="E64" s="172"/>
      <c r="F64" s="172"/>
      <c r="G64" s="172"/>
      <c r="H64" s="172"/>
      <c r="I64" s="172"/>
    </row>
    <row r="65" spans="1:9" ht="11.25" customHeight="1" x14ac:dyDescent="0.25">
      <c r="A65" s="198" t="s">
        <v>59</v>
      </c>
      <c r="B65" s="198"/>
      <c r="C65" s="198"/>
      <c r="D65" s="198"/>
      <c r="E65" s="198"/>
      <c r="F65" s="198"/>
      <c r="G65" s="198"/>
      <c r="H65" s="198"/>
      <c r="I65" s="198"/>
    </row>
    <row r="66" spans="1:9" x14ac:dyDescent="0.25">
      <c r="A66" s="172"/>
      <c r="B66" s="172"/>
      <c r="C66" s="172"/>
      <c r="D66" s="172"/>
      <c r="E66" s="172"/>
      <c r="F66" s="172"/>
      <c r="G66" s="172"/>
      <c r="H66" s="172"/>
      <c r="I66" s="172"/>
    </row>
    <row r="67" spans="1:9" ht="12" customHeight="1" x14ac:dyDescent="0.25">
      <c r="A67" s="198" t="s">
        <v>60</v>
      </c>
      <c r="B67" s="198"/>
      <c r="C67" s="198"/>
      <c r="D67" s="198"/>
      <c r="E67" s="198"/>
      <c r="F67" s="198"/>
      <c r="G67" s="198"/>
      <c r="H67" s="198"/>
      <c r="I67" s="198"/>
    </row>
    <row r="68" spans="1:9" x14ac:dyDescent="0.25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ht="8.25" customHeight="1" x14ac:dyDescent="0.25"/>
    <row r="70" spans="1:9" x14ac:dyDescent="0.25">
      <c r="A70" s="204" t="s">
        <v>61</v>
      </c>
      <c r="B70" s="204"/>
      <c r="C70" s="204"/>
      <c r="D70" s="204"/>
      <c r="E70" s="172"/>
      <c r="F70" s="172"/>
      <c r="G70" s="172"/>
      <c r="H70" s="172"/>
      <c r="I70" s="172"/>
    </row>
    <row r="71" spans="1:9" ht="12.75" customHeight="1" x14ac:dyDescent="0.25">
      <c r="E71" s="198" t="s">
        <v>62</v>
      </c>
      <c r="F71" s="198"/>
      <c r="G71" s="198"/>
      <c r="H71" s="198"/>
      <c r="I71" s="198"/>
    </row>
    <row r="73" spans="1:9" ht="28.5" customHeight="1" x14ac:dyDescent="0.25">
      <c r="A73" s="189" t="s">
        <v>63</v>
      </c>
      <c r="B73" s="189"/>
      <c r="C73" s="174" t="str">
        <f>A18</f>
        <v>Директор по строительству ООО «СЭТ» Потоцкий А.А.</v>
      </c>
      <c r="D73" s="174"/>
      <c r="E73" s="174"/>
      <c r="F73" s="174"/>
      <c r="G73" s="174"/>
      <c r="H73" s="174"/>
      <c r="I73" s="174"/>
    </row>
    <row r="74" spans="1:9" ht="12" customHeight="1" x14ac:dyDescent="0.25">
      <c r="C74" s="198" t="s">
        <v>64</v>
      </c>
      <c r="D74" s="198"/>
      <c r="E74" s="198"/>
      <c r="F74" s="198"/>
      <c r="G74" s="198"/>
      <c r="H74" s="198"/>
      <c r="I74" s="198"/>
    </row>
    <row r="76" spans="1:9" x14ac:dyDescent="0.25">
      <c r="A76" s="189" t="s">
        <v>65</v>
      </c>
      <c r="B76" s="189"/>
      <c r="C76" s="174" t="str">
        <f>B20</f>
        <v>Начальник участка ООО «СЭТ» Нугуманов М.А.</v>
      </c>
      <c r="D76" s="174"/>
      <c r="E76" s="174"/>
      <c r="F76" s="174"/>
      <c r="G76" s="174"/>
      <c r="H76" s="174"/>
      <c r="I76" s="174"/>
    </row>
    <row r="77" spans="1:9" ht="11.25" customHeight="1" x14ac:dyDescent="0.25">
      <c r="C77" s="173" t="s">
        <v>64</v>
      </c>
      <c r="D77" s="173"/>
      <c r="E77" s="173"/>
      <c r="F77" s="173"/>
      <c r="G77" s="173"/>
      <c r="H77" s="173"/>
      <c r="I77" s="173"/>
    </row>
    <row r="78" spans="1:9" ht="28.5" customHeight="1" x14ac:dyDescent="0.25">
      <c r="C78" s="174" t="str">
        <f>B22</f>
        <v>Ведущий инженер строительного контроля ООО «СЭТ» Кольцов А.Г.</v>
      </c>
      <c r="D78" s="174"/>
      <c r="E78" s="174"/>
      <c r="F78" s="174"/>
      <c r="G78" s="174"/>
      <c r="H78" s="174"/>
      <c r="I78" s="174"/>
    </row>
    <row r="79" spans="1:9" ht="12" customHeight="1" x14ac:dyDescent="0.25">
      <c r="C79" s="173" t="s">
        <v>64</v>
      </c>
      <c r="D79" s="173"/>
      <c r="E79" s="173"/>
      <c r="F79" s="173"/>
      <c r="G79" s="173"/>
      <c r="H79" s="173"/>
      <c r="I79" s="173"/>
    </row>
    <row r="80" spans="1:9" x14ac:dyDescent="0.25">
      <c r="C80" s="172"/>
      <c r="D80" s="172"/>
      <c r="E80" s="172"/>
      <c r="F80" s="172"/>
      <c r="G80" s="172"/>
      <c r="H80" s="172"/>
      <c r="I80" s="172"/>
    </row>
    <row r="81" spans="1:9" x14ac:dyDescent="0.25">
      <c r="C81" s="173" t="s">
        <v>64</v>
      </c>
      <c r="D81" s="173"/>
      <c r="E81" s="173"/>
      <c r="F81" s="173"/>
      <c r="G81" s="173"/>
      <c r="H81" s="173"/>
      <c r="I81" s="173"/>
    </row>
    <row r="83" spans="1:9" x14ac:dyDescent="0.25">
      <c r="A83" s="189" t="s">
        <v>66</v>
      </c>
      <c r="B83" s="189"/>
      <c r="C83" s="189"/>
    </row>
    <row r="84" spans="1:9" x14ac:dyDescent="0.25">
      <c r="A84" s="192" t="str">
        <f>CONCATENATE(ПОДПИСИ!B13," ",ПОДПИСИ!C13)</f>
        <v>Ведущий инженер отдела строительного контроля АО "ЛЭСР" Сафуанова В.А.</v>
      </c>
      <c r="B84" s="192"/>
      <c r="C84" s="192"/>
      <c r="D84" s="192"/>
      <c r="E84" s="192"/>
      <c r="F84" s="192"/>
      <c r="G84" s="192"/>
      <c r="H84" s="192"/>
      <c r="I84" s="192"/>
    </row>
    <row r="85" spans="1:9" x14ac:dyDescent="0.25">
      <c r="A85" s="191" t="s">
        <v>64</v>
      </c>
      <c r="B85" s="191"/>
      <c r="C85" s="191"/>
      <c r="D85" s="191"/>
      <c r="E85" s="191"/>
      <c r="F85" s="191"/>
      <c r="G85" s="191"/>
      <c r="H85" s="191"/>
      <c r="I85" s="191"/>
    </row>
    <row r="87" spans="1:9" x14ac:dyDescent="0.25">
      <c r="A87" s="189" t="s">
        <v>67</v>
      </c>
      <c r="B87" s="189"/>
      <c r="C87" s="172"/>
      <c r="D87" s="172"/>
      <c r="E87" s="172"/>
      <c r="F87" s="172"/>
      <c r="G87" s="172"/>
      <c r="H87" s="172"/>
      <c r="I87" s="172"/>
    </row>
    <row r="88" spans="1:9" x14ac:dyDescent="0.25">
      <c r="A88" s="172"/>
      <c r="B88" s="172"/>
      <c r="C88" s="172"/>
      <c r="D88" s="172"/>
      <c r="E88" s="172"/>
      <c r="F88" s="172"/>
      <c r="G88" s="172"/>
      <c r="H88" s="172"/>
      <c r="I88" s="172"/>
    </row>
    <row r="89" spans="1:9" x14ac:dyDescent="0.25">
      <c r="A89" s="205"/>
      <c r="B89" s="205"/>
      <c r="C89" s="205"/>
      <c r="D89" s="205"/>
      <c r="E89" s="205"/>
      <c r="F89" s="205"/>
      <c r="G89" s="205"/>
      <c r="H89" s="205"/>
      <c r="I89" s="205"/>
    </row>
  </sheetData>
  <mergeCells count="102">
    <mergeCell ref="A88:I88"/>
    <mergeCell ref="A89:I89"/>
    <mergeCell ref="A83:C83"/>
    <mergeCell ref="A84:I84"/>
    <mergeCell ref="A85:I85"/>
    <mergeCell ref="A87:B87"/>
    <mergeCell ref="C87:I87"/>
    <mergeCell ref="C77:I77"/>
    <mergeCell ref="C78:I78"/>
    <mergeCell ref="C79:I79"/>
    <mergeCell ref="C80:I80"/>
    <mergeCell ref="C81:I81"/>
    <mergeCell ref="E71:I71"/>
    <mergeCell ref="A73:B73"/>
    <mergeCell ref="C73:I73"/>
    <mergeCell ref="C74:I74"/>
    <mergeCell ref="A76:B76"/>
    <mergeCell ref="C76:I76"/>
    <mergeCell ref="A66:I66"/>
    <mergeCell ref="A67:I67"/>
    <mergeCell ref="A68:I68"/>
    <mergeCell ref="A70:D70"/>
    <mergeCell ref="E70:I70"/>
    <mergeCell ref="A57:E57"/>
    <mergeCell ref="F57:I57"/>
    <mergeCell ref="B62:D62"/>
    <mergeCell ref="F62:I62"/>
    <mergeCell ref="A63:I63"/>
    <mergeCell ref="A64:I64"/>
    <mergeCell ref="A65:I65"/>
    <mergeCell ref="F58:I58"/>
    <mergeCell ref="A59:G59"/>
    <mergeCell ref="H59:I59"/>
    <mergeCell ref="H60:I60"/>
    <mergeCell ref="F61:I61"/>
    <mergeCell ref="B61:D61"/>
    <mergeCell ref="F54:I54"/>
    <mergeCell ref="A55:E55"/>
    <mergeCell ref="F55:I55"/>
    <mergeCell ref="F56:I56"/>
    <mergeCell ref="A51:E51"/>
    <mergeCell ref="F51:I51"/>
    <mergeCell ref="F50:I50"/>
    <mergeCell ref="F52:I52"/>
    <mergeCell ref="A53:E53"/>
    <mergeCell ref="F53:I53"/>
    <mergeCell ref="F40:I40"/>
    <mergeCell ref="F41:I41"/>
    <mergeCell ref="A42:I42"/>
    <mergeCell ref="A48:I48"/>
    <mergeCell ref="A49:E49"/>
    <mergeCell ref="F49:I49"/>
    <mergeCell ref="A38:B38"/>
    <mergeCell ref="C38:E38"/>
    <mergeCell ref="C39:E39"/>
    <mergeCell ref="G39:I39"/>
    <mergeCell ref="G38:I38"/>
    <mergeCell ref="A45:B45"/>
    <mergeCell ref="C45:D45"/>
    <mergeCell ref="A44:B44"/>
    <mergeCell ref="C44:D44"/>
    <mergeCell ref="A43:D43"/>
    <mergeCell ref="E43:E44"/>
    <mergeCell ref="F43:F44"/>
    <mergeCell ref="G43:G44"/>
    <mergeCell ref="H43:H44"/>
    <mergeCell ref="I43:I44"/>
    <mergeCell ref="A36:B36"/>
    <mergeCell ref="C36:E36"/>
    <mergeCell ref="C37:E37"/>
    <mergeCell ref="G37:I37"/>
    <mergeCell ref="A34:E34"/>
    <mergeCell ref="G34:I34"/>
    <mergeCell ref="A35:E35"/>
    <mergeCell ref="G35:I35"/>
    <mergeCell ref="G36:I36"/>
    <mergeCell ref="A18:I18"/>
    <mergeCell ref="A4:I4"/>
    <mergeCell ref="B20:I20"/>
    <mergeCell ref="B21:I21"/>
    <mergeCell ref="B22:I22"/>
    <mergeCell ref="B23:I23"/>
    <mergeCell ref="F5:I6"/>
    <mergeCell ref="F7:I7"/>
    <mergeCell ref="D8:I8"/>
    <mergeCell ref="A9:C9"/>
    <mergeCell ref="D9:I9"/>
    <mergeCell ref="A11:I11"/>
    <mergeCell ref="A12:I12"/>
    <mergeCell ref="A13:B13"/>
    <mergeCell ref="A14:B14"/>
    <mergeCell ref="C15:E15"/>
    <mergeCell ref="G13:I13"/>
    <mergeCell ref="B24:I24"/>
    <mergeCell ref="B25:I25"/>
    <mergeCell ref="A27:I27"/>
    <mergeCell ref="A28:I28"/>
    <mergeCell ref="A29:I29"/>
    <mergeCell ref="A30:I30"/>
    <mergeCell ref="A31:I31"/>
    <mergeCell ref="A32:I32"/>
    <mergeCell ref="A33:I33"/>
  </mergeCells>
  <dataValidations disablePrompts="1" count="5">
    <dataValidation type="list" allowBlank="1" showInputMessage="1" showErrorMessage="1" sqref="F40:I40" xr:uid="{00000000-0002-0000-0300-000000000000}">
      <formula1>"выполнена, не выполнена"</formula1>
    </dataValidation>
    <dataValidation type="list" allowBlank="1" showInputMessage="1" showErrorMessage="1" sqref="F51:I51 F53:I53 F55:I55" xr:uid="{00000000-0002-0000-0300-000001000000}">
      <formula1>"соответствует, не соотвествует"</formula1>
    </dataValidation>
    <dataValidation type="list" allowBlank="1" showInputMessage="1" showErrorMessage="1" sqref="F49:I49" xr:uid="{00000000-0002-0000-0300-000002000000}">
      <formula1>"соответствуют, не соотвествуют"</formula1>
    </dataValidation>
    <dataValidation type="list" allowBlank="1" showInputMessage="1" showErrorMessage="1" sqref="H59:I59" xr:uid="{00000000-0002-0000-0300-000003000000}">
      <formula1>"пригодной, непригодной"</formula1>
    </dataValidation>
    <dataValidation type="list" allowBlank="1" showInputMessage="1" showErrorMessage="1" sqref="B61:D61" xr:uid="{00000000-0002-0000-0300-000004000000}">
      <formula1>"допущена, не допущена"</formula1>
    </dataValidation>
  </dataValidations>
  <pageMargins left="0.25" right="0.25" top="0.75" bottom="0.75" header="0.3" footer="0.3"/>
  <pageSetup paperSize="9" orientation="portrait" r:id="rId1"/>
  <rowBreaks count="1" manualBreakCount="1">
    <brk id="39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AF32"/>
  <sheetViews>
    <sheetView workbookViewId="0"/>
  </sheetViews>
  <sheetFormatPr defaultColWidth="8.88671875" defaultRowHeight="13.2" x14ac:dyDescent="0.25"/>
  <cols>
    <col min="1" max="1" width="1.44140625" style="1" customWidth="1"/>
    <col min="2" max="2" width="4.88671875" style="1" customWidth="1"/>
    <col min="3" max="5" width="4.44140625" style="1" customWidth="1"/>
    <col min="6" max="6" width="6" style="1" customWidth="1"/>
    <col min="7" max="7" width="4.44140625" style="1" customWidth="1"/>
    <col min="8" max="19" width="4.88671875" style="1" customWidth="1"/>
    <col min="20" max="29" width="4.44140625" style="1" customWidth="1"/>
    <col min="30" max="30" width="3.109375" style="1" customWidth="1"/>
    <col min="31" max="31" width="8.88671875" style="1"/>
    <col min="32" max="32" width="24.44140625" style="1" customWidth="1"/>
    <col min="33" max="257" width="8.88671875" style="1"/>
    <col min="258" max="258" width="4.88671875" style="1" customWidth="1"/>
    <col min="259" max="286" width="4.44140625" style="1" customWidth="1"/>
    <col min="287" max="513" width="8.88671875" style="1"/>
    <col min="514" max="514" width="4.88671875" style="1" customWidth="1"/>
    <col min="515" max="542" width="4.44140625" style="1" customWidth="1"/>
    <col min="543" max="769" width="8.88671875" style="1"/>
    <col min="770" max="770" width="4.88671875" style="1" customWidth="1"/>
    <col min="771" max="798" width="4.44140625" style="1" customWidth="1"/>
    <col min="799" max="1025" width="8.88671875" style="1"/>
    <col min="1026" max="1026" width="4.88671875" style="1" customWidth="1"/>
    <col min="1027" max="1054" width="4.44140625" style="1" customWidth="1"/>
    <col min="1055" max="1281" width="8.88671875" style="1"/>
    <col min="1282" max="1282" width="4.88671875" style="1" customWidth="1"/>
    <col min="1283" max="1310" width="4.44140625" style="1" customWidth="1"/>
    <col min="1311" max="1537" width="8.88671875" style="1"/>
    <col min="1538" max="1538" width="4.88671875" style="1" customWidth="1"/>
    <col min="1539" max="1566" width="4.44140625" style="1" customWidth="1"/>
    <col min="1567" max="1793" width="8.88671875" style="1"/>
    <col min="1794" max="1794" width="4.88671875" style="1" customWidth="1"/>
    <col min="1795" max="1822" width="4.44140625" style="1" customWidth="1"/>
    <col min="1823" max="2049" width="8.88671875" style="1"/>
    <col min="2050" max="2050" width="4.88671875" style="1" customWidth="1"/>
    <col min="2051" max="2078" width="4.44140625" style="1" customWidth="1"/>
    <col min="2079" max="2305" width="8.88671875" style="1"/>
    <col min="2306" max="2306" width="4.88671875" style="1" customWidth="1"/>
    <col min="2307" max="2334" width="4.44140625" style="1" customWidth="1"/>
    <col min="2335" max="2561" width="8.88671875" style="1"/>
    <col min="2562" max="2562" width="4.88671875" style="1" customWidth="1"/>
    <col min="2563" max="2590" width="4.44140625" style="1" customWidth="1"/>
    <col min="2591" max="2817" width="8.88671875" style="1"/>
    <col min="2818" max="2818" width="4.88671875" style="1" customWidth="1"/>
    <col min="2819" max="2846" width="4.44140625" style="1" customWidth="1"/>
    <col min="2847" max="3073" width="8.88671875" style="1"/>
    <col min="3074" max="3074" width="4.88671875" style="1" customWidth="1"/>
    <col min="3075" max="3102" width="4.44140625" style="1" customWidth="1"/>
    <col min="3103" max="3329" width="8.88671875" style="1"/>
    <col min="3330" max="3330" width="4.88671875" style="1" customWidth="1"/>
    <col min="3331" max="3358" width="4.44140625" style="1" customWidth="1"/>
    <col min="3359" max="3585" width="8.88671875" style="1"/>
    <col min="3586" max="3586" width="4.88671875" style="1" customWidth="1"/>
    <col min="3587" max="3614" width="4.44140625" style="1" customWidth="1"/>
    <col min="3615" max="3841" width="8.88671875" style="1"/>
    <col min="3842" max="3842" width="4.88671875" style="1" customWidth="1"/>
    <col min="3843" max="3870" width="4.44140625" style="1" customWidth="1"/>
    <col min="3871" max="4097" width="8.88671875" style="1"/>
    <col min="4098" max="4098" width="4.88671875" style="1" customWidth="1"/>
    <col min="4099" max="4126" width="4.44140625" style="1" customWidth="1"/>
    <col min="4127" max="4353" width="8.88671875" style="1"/>
    <col min="4354" max="4354" width="4.88671875" style="1" customWidth="1"/>
    <col min="4355" max="4382" width="4.44140625" style="1" customWidth="1"/>
    <col min="4383" max="4609" width="8.88671875" style="1"/>
    <col min="4610" max="4610" width="4.88671875" style="1" customWidth="1"/>
    <col min="4611" max="4638" width="4.44140625" style="1" customWidth="1"/>
    <col min="4639" max="4865" width="8.88671875" style="1"/>
    <col min="4866" max="4866" width="4.88671875" style="1" customWidth="1"/>
    <col min="4867" max="4894" width="4.44140625" style="1" customWidth="1"/>
    <col min="4895" max="5121" width="8.88671875" style="1"/>
    <col min="5122" max="5122" width="4.88671875" style="1" customWidth="1"/>
    <col min="5123" max="5150" width="4.44140625" style="1" customWidth="1"/>
    <col min="5151" max="5377" width="8.88671875" style="1"/>
    <col min="5378" max="5378" width="4.88671875" style="1" customWidth="1"/>
    <col min="5379" max="5406" width="4.44140625" style="1" customWidth="1"/>
    <col min="5407" max="5633" width="8.88671875" style="1"/>
    <col min="5634" max="5634" width="4.88671875" style="1" customWidth="1"/>
    <col min="5635" max="5662" width="4.44140625" style="1" customWidth="1"/>
    <col min="5663" max="5889" width="8.88671875" style="1"/>
    <col min="5890" max="5890" width="4.88671875" style="1" customWidth="1"/>
    <col min="5891" max="5918" width="4.44140625" style="1" customWidth="1"/>
    <col min="5919" max="6145" width="8.88671875" style="1"/>
    <col min="6146" max="6146" width="4.88671875" style="1" customWidth="1"/>
    <col min="6147" max="6174" width="4.44140625" style="1" customWidth="1"/>
    <col min="6175" max="6401" width="8.88671875" style="1"/>
    <col min="6402" max="6402" width="4.88671875" style="1" customWidth="1"/>
    <col min="6403" max="6430" width="4.44140625" style="1" customWidth="1"/>
    <col min="6431" max="6657" width="8.88671875" style="1"/>
    <col min="6658" max="6658" width="4.88671875" style="1" customWidth="1"/>
    <col min="6659" max="6686" width="4.44140625" style="1" customWidth="1"/>
    <col min="6687" max="6913" width="8.88671875" style="1"/>
    <col min="6914" max="6914" width="4.88671875" style="1" customWidth="1"/>
    <col min="6915" max="6942" width="4.44140625" style="1" customWidth="1"/>
    <col min="6943" max="7169" width="8.88671875" style="1"/>
    <col min="7170" max="7170" width="4.88671875" style="1" customWidth="1"/>
    <col min="7171" max="7198" width="4.44140625" style="1" customWidth="1"/>
    <col min="7199" max="7425" width="8.88671875" style="1"/>
    <col min="7426" max="7426" width="4.88671875" style="1" customWidth="1"/>
    <col min="7427" max="7454" width="4.44140625" style="1" customWidth="1"/>
    <col min="7455" max="7681" width="8.88671875" style="1"/>
    <col min="7682" max="7682" width="4.88671875" style="1" customWidth="1"/>
    <col min="7683" max="7710" width="4.44140625" style="1" customWidth="1"/>
    <col min="7711" max="7937" width="8.88671875" style="1"/>
    <col min="7938" max="7938" width="4.88671875" style="1" customWidth="1"/>
    <col min="7939" max="7966" width="4.44140625" style="1" customWidth="1"/>
    <col min="7967" max="8193" width="8.88671875" style="1"/>
    <col min="8194" max="8194" width="4.88671875" style="1" customWidth="1"/>
    <col min="8195" max="8222" width="4.44140625" style="1" customWidth="1"/>
    <col min="8223" max="8449" width="8.88671875" style="1"/>
    <col min="8450" max="8450" width="4.88671875" style="1" customWidth="1"/>
    <col min="8451" max="8478" width="4.44140625" style="1" customWidth="1"/>
    <col min="8479" max="8705" width="8.88671875" style="1"/>
    <col min="8706" max="8706" width="4.88671875" style="1" customWidth="1"/>
    <col min="8707" max="8734" width="4.44140625" style="1" customWidth="1"/>
    <col min="8735" max="8961" width="8.88671875" style="1"/>
    <col min="8962" max="8962" width="4.88671875" style="1" customWidth="1"/>
    <col min="8963" max="8990" width="4.44140625" style="1" customWidth="1"/>
    <col min="8991" max="9217" width="8.88671875" style="1"/>
    <col min="9218" max="9218" width="4.88671875" style="1" customWidth="1"/>
    <col min="9219" max="9246" width="4.44140625" style="1" customWidth="1"/>
    <col min="9247" max="9473" width="8.88671875" style="1"/>
    <col min="9474" max="9474" width="4.88671875" style="1" customWidth="1"/>
    <col min="9475" max="9502" width="4.44140625" style="1" customWidth="1"/>
    <col min="9503" max="9729" width="8.88671875" style="1"/>
    <col min="9730" max="9730" width="4.88671875" style="1" customWidth="1"/>
    <col min="9731" max="9758" width="4.44140625" style="1" customWidth="1"/>
    <col min="9759" max="9985" width="8.88671875" style="1"/>
    <col min="9986" max="9986" width="4.88671875" style="1" customWidth="1"/>
    <col min="9987" max="10014" width="4.44140625" style="1" customWidth="1"/>
    <col min="10015" max="10241" width="8.88671875" style="1"/>
    <col min="10242" max="10242" width="4.88671875" style="1" customWidth="1"/>
    <col min="10243" max="10270" width="4.44140625" style="1" customWidth="1"/>
    <col min="10271" max="10497" width="8.88671875" style="1"/>
    <col min="10498" max="10498" width="4.88671875" style="1" customWidth="1"/>
    <col min="10499" max="10526" width="4.44140625" style="1" customWidth="1"/>
    <col min="10527" max="10753" width="8.88671875" style="1"/>
    <col min="10754" max="10754" width="4.88671875" style="1" customWidth="1"/>
    <col min="10755" max="10782" width="4.44140625" style="1" customWidth="1"/>
    <col min="10783" max="11009" width="8.88671875" style="1"/>
    <col min="11010" max="11010" width="4.88671875" style="1" customWidth="1"/>
    <col min="11011" max="11038" width="4.44140625" style="1" customWidth="1"/>
    <col min="11039" max="11265" width="8.88671875" style="1"/>
    <col min="11266" max="11266" width="4.88671875" style="1" customWidth="1"/>
    <col min="11267" max="11294" width="4.44140625" style="1" customWidth="1"/>
    <col min="11295" max="11521" width="8.88671875" style="1"/>
    <col min="11522" max="11522" width="4.88671875" style="1" customWidth="1"/>
    <col min="11523" max="11550" width="4.44140625" style="1" customWidth="1"/>
    <col min="11551" max="11777" width="8.88671875" style="1"/>
    <col min="11778" max="11778" width="4.88671875" style="1" customWidth="1"/>
    <col min="11779" max="11806" width="4.44140625" style="1" customWidth="1"/>
    <col min="11807" max="12033" width="8.88671875" style="1"/>
    <col min="12034" max="12034" width="4.88671875" style="1" customWidth="1"/>
    <col min="12035" max="12062" width="4.44140625" style="1" customWidth="1"/>
    <col min="12063" max="12289" width="8.88671875" style="1"/>
    <col min="12290" max="12290" width="4.88671875" style="1" customWidth="1"/>
    <col min="12291" max="12318" width="4.44140625" style="1" customWidth="1"/>
    <col min="12319" max="12545" width="8.88671875" style="1"/>
    <col min="12546" max="12546" width="4.88671875" style="1" customWidth="1"/>
    <col min="12547" max="12574" width="4.44140625" style="1" customWidth="1"/>
    <col min="12575" max="12801" width="8.88671875" style="1"/>
    <col min="12802" max="12802" width="4.88671875" style="1" customWidth="1"/>
    <col min="12803" max="12830" width="4.44140625" style="1" customWidth="1"/>
    <col min="12831" max="13057" width="8.88671875" style="1"/>
    <col min="13058" max="13058" width="4.88671875" style="1" customWidth="1"/>
    <col min="13059" max="13086" width="4.44140625" style="1" customWidth="1"/>
    <col min="13087" max="13313" width="8.88671875" style="1"/>
    <col min="13314" max="13314" width="4.88671875" style="1" customWidth="1"/>
    <col min="13315" max="13342" width="4.44140625" style="1" customWidth="1"/>
    <col min="13343" max="13569" width="8.88671875" style="1"/>
    <col min="13570" max="13570" width="4.88671875" style="1" customWidth="1"/>
    <col min="13571" max="13598" width="4.44140625" style="1" customWidth="1"/>
    <col min="13599" max="13825" width="8.88671875" style="1"/>
    <col min="13826" max="13826" width="4.88671875" style="1" customWidth="1"/>
    <col min="13827" max="13854" width="4.44140625" style="1" customWidth="1"/>
    <col min="13855" max="14081" width="8.88671875" style="1"/>
    <col min="14082" max="14082" width="4.88671875" style="1" customWidth="1"/>
    <col min="14083" max="14110" width="4.44140625" style="1" customWidth="1"/>
    <col min="14111" max="14337" width="8.88671875" style="1"/>
    <col min="14338" max="14338" width="4.88671875" style="1" customWidth="1"/>
    <col min="14339" max="14366" width="4.44140625" style="1" customWidth="1"/>
    <col min="14367" max="14593" width="8.88671875" style="1"/>
    <col min="14594" max="14594" width="4.88671875" style="1" customWidth="1"/>
    <col min="14595" max="14622" width="4.44140625" style="1" customWidth="1"/>
    <col min="14623" max="14849" width="8.88671875" style="1"/>
    <col min="14850" max="14850" width="4.88671875" style="1" customWidth="1"/>
    <col min="14851" max="14878" width="4.44140625" style="1" customWidth="1"/>
    <col min="14879" max="15105" width="8.88671875" style="1"/>
    <col min="15106" max="15106" width="4.88671875" style="1" customWidth="1"/>
    <col min="15107" max="15134" width="4.44140625" style="1" customWidth="1"/>
    <col min="15135" max="15361" width="8.88671875" style="1"/>
    <col min="15362" max="15362" width="4.88671875" style="1" customWidth="1"/>
    <col min="15363" max="15390" width="4.44140625" style="1" customWidth="1"/>
    <col min="15391" max="15617" width="8.88671875" style="1"/>
    <col min="15618" max="15618" width="4.88671875" style="1" customWidth="1"/>
    <col min="15619" max="15646" width="4.44140625" style="1" customWidth="1"/>
    <col min="15647" max="15873" width="8.88671875" style="1"/>
    <col min="15874" max="15874" width="4.88671875" style="1" customWidth="1"/>
    <col min="15875" max="15902" width="4.44140625" style="1" customWidth="1"/>
    <col min="15903" max="16129" width="8.88671875" style="1"/>
    <col min="16130" max="16130" width="4.88671875" style="1" customWidth="1"/>
    <col min="16131" max="16158" width="4.44140625" style="1" customWidth="1"/>
    <col min="16159" max="16384" width="8.88671875" style="1"/>
  </cols>
  <sheetData>
    <row r="1" spans="1:32" ht="12.75" customHeight="1" x14ac:dyDescent="0.25">
      <c r="V1" s="207" t="s">
        <v>69</v>
      </c>
      <c r="W1" s="208"/>
      <c r="X1" s="208"/>
      <c r="Y1" s="208"/>
      <c r="Z1" s="208"/>
      <c r="AA1" s="208"/>
      <c r="AB1" s="208"/>
      <c r="AC1" s="208"/>
      <c r="AD1" s="208"/>
    </row>
    <row r="2" spans="1:32" ht="12.75" customHeight="1" x14ac:dyDescent="0.25">
      <c r="V2" s="208"/>
      <c r="W2" s="208"/>
      <c r="X2" s="208"/>
      <c r="Y2" s="208"/>
      <c r="Z2" s="208"/>
      <c r="AA2" s="208"/>
      <c r="AB2" s="208"/>
      <c r="AC2" s="208"/>
      <c r="AD2" s="208"/>
    </row>
    <row r="3" spans="1:32" ht="21.75" customHeight="1" x14ac:dyDescent="0.25">
      <c r="AF3" s="18"/>
    </row>
    <row r="4" spans="1:32" ht="21.75" customHeight="1" x14ac:dyDescent="0.25">
      <c r="AF4" s="18"/>
    </row>
    <row r="5" spans="1:32" ht="21.75" customHeight="1" x14ac:dyDescent="0.35">
      <c r="A5" s="210" t="s">
        <v>94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F5" s="18"/>
    </row>
    <row r="6" spans="1:32" ht="21.75" customHeight="1" x14ac:dyDescent="0.25">
      <c r="A6" s="209" t="s">
        <v>73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</row>
    <row r="7" spans="1:32" ht="14.25" customHeight="1" x14ac:dyDescent="0.25"/>
    <row r="8" spans="1:32" ht="15" customHeight="1" x14ac:dyDescent="0.25"/>
    <row r="9" spans="1:32" ht="22.5" customHeight="1" x14ac:dyDescent="0.25">
      <c r="B9" s="154" t="s">
        <v>0</v>
      </c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</row>
    <row r="10" spans="1:32" ht="22.5" customHeight="1" x14ac:dyDescent="0.4">
      <c r="B10" s="155" t="s">
        <v>70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</row>
    <row r="11" spans="1:32" ht="22.5" customHeight="1" x14ac:dyDescent="0.4">
      <c r="B11" s="155" t="s">
        <v>71</v>
      </c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</row>
    <row r="12" spans="1:32" ht="12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32" ht="45.75" customHeight="1" x14ac:dyDescent="0.25">
      <c r="A13" s="211" t="s">
        <v>103</v>
      </c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</row>
    <row r="14" spans="1:32" ht="13.5" customHeight="1" x14ac:dyDescent="0.25">
      <c r="A14" s="211"/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  <c r="AD14" s="211"/>
    </row>
    <row r="15" spans="1:32" ht="15" customHeight="1" x14ac:dyDescent="0.25">
      <c r="A15" s="209" t="s">
        <v>72</v>
      </c>
      <c r="B15" s="209"/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  <c r="AA15" s="209"/>
      <c r="AB15" s="209"/>
      <c r="AC15" s="209"/>
      <c r="AD15" s="209"/>
    </row>
    <row r="16" spans="1:32" ht="12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30" ht="15.6" x14ac:dyDescent="0.3">
      <c r="A17" s="2"/>
      <c r="B17" s="2"/>
      <c r="C17" s="2"/>
      <c r="D17" s="2"/>
      <c r="E17" s="2"/>
      <c r="F17" s="2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30" ht="15.6" x14ac:dyDescent="0.3">
      <c r="A18" s="2"/>
      <c r="B18" s="2"/>
      <c r="C18" s="2"/>
      <c r="D18" s="2"/>
      <c r="E18" s="2"/>
      <c r="F18" s="2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30" ht="15.6" x14ac:dyDescent="0.3">
      <c r="A19" s="2"/>
      <c r="B19" s="2"/>
      <c r="C19" s="2"/>
      <c r="D19" s="2"/>
      <c r="E19" s="2"/>
      <c r="F19" s="2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30" ht="16.5" customHeight="1" x14ac:dyDescent="0.3">
      <c r="B20" s="27"/>
      <c r="C20" s="27"/>
      <c r="D20" s="27"/>
      <c r="E20" s="27"/>
      <c r="F20" s="27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30" ht="15.6" x14ac:dyDescent="0.3">
      <c r="B21" s="27"/>
      <c r="C21" s="27"/>
      <c r="D21" s="27"/>
      <c r="E21" s="27"/>
      <c r="F21" s="27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6" spans="1:30" ht="12.75" customHeight="1" x14ac:dyDescent="0.25">
      <c r="V26" s="2"/>
      <c r="W26" s="2"/>
      <c r="X26" s="2"/>
      <c r="Y26" s="2"/>
      <c r="Z26" s="2"/>
      <c r="AA26" s="2"/>
      <c r="AB26" s="2"/>
      <c r="AC26" s="2"/>
      <c r="AD26" s="2"/>
    </row>
    <row r="27" spans="1:30" ht="15.6" x14ac:dyDescent="0.3">
      <c r="T27" s="152" t="s">
        <v>1</v>
      </c>
      <c r="U27" s="152"/>
      <c r="V27" s="206"/>
      <c r="W27" s="206"/>
      <c r="X27" s="206"/>
      <c r="Y27" s="206"/>
      <c r="Z27" s="206"/>
      <c r="AA27" s="2">
        <v>20</v>
      </c>
      <c r="AB27" s="34"/>
      <c r="AC27" s="2" t="s">
        <v>3</v>
      </c>
    </row>
    <row r="28" spans="1:30" ht="13.8" x14ac:dyDescent="0.25">
      <c r="T28" s="2"/>
      <c r="U28" s="2"/>
      <c r="V28" s="5"/>
      <c r="W28" s="5"/>
      <c r="X28" s="5"/>
      <c r="Y28" s="5"/>
      <c r="Z28" s="5"/>
      <c r="AA28" s="2"/>
      <c r="AB28" s="5"/>
      <c r="AC28" s="2"/>
    </row>
    <row r="29" spans="1:30" ht="15.6" x14ac:dyDescent="0.3">
      <c r="T29" s="152" t="s">
        <v>2</v>
      </c>
      <c r="U29" s="152"/>
      <c r="V29" s="206"/>
      <c r="W29" s="206"/>
      <c r="X29" s="206"/>
      <c r="Y29" s="206"/>
      <c r="Z29" s="206"/>
      <c r="AA29" s="2">
        <v>20</v>
      </c>
      <c r="AB29" s="34"/>
      <c r="AC29" s="2" t="s">
        <v>3</v>
      </c>
    </row>
    <row r="32" spans="1:30" ht="11.25" customHeight="1" x14ac:dyDescent="0.25"/>
  </sheetData>
  <mergeCells count="12">
    <mergeCell ref="T29:U29"/>
    <mergeCell ref="V29:Z29"/>
    <mergeCell ref="V1:AD2"/>
    <mergeCell ref="A15:AD15"/>
    <mergeCell ref="A5:AD5"/>
    <mergeCell ref="A6:AD6"/>
    <mergeCell ref="T27:U27"/>
    <mergeCell ref="V27:Z27"/>
    <mergeCell ref="B9:AD9"/>
    <mergeCell ref="B10:AD10"/>
    <mergeCell ref="B11:AD11"/>
    <mergeCell ref="A13:AD14"/>
  </mergeCells>
  <pageMargins left="0.51181102362204722" right="0.51181102362204722" top="0.51181102362204722" bottom="0.51181102362204722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N14"/>
  <sheetViews>
    <sheetView workbookViewId="0"/>
  </sheetViews>
  <sheetFormatPr defaultColWidth="9.109375" defaultRowHeight="13.8" x14ac:dyDescent="0.25"/>
  <cols>
    <col min="1" max="1" width="5.44140625" style="10" customWidth="1"/>
    <col min="2" max="2" width="12.109375" style="8" customWidth="1"/>
    <col min="3" max="3" width="9.6640625" style="11" customWidth="1"/>
    <col min="4" max="4" width="27.33203125" style="8" customWidth="1"/>
    <col min="5" max="5" width="20.109375" style="8" customWidth="1"/>
    <col min="6" max="6" width="20.33203125" style="11" customWidth="1"/>
    <col min="7" max="7" width="14.44140625" style="8" customWidth="1"/>
    <col min="8" max="8" width="29.5546875" style="8" customWidth="1"/>
    <col min="9" max="9" width="16.6640625" style="8" customWidth="1"/>
    <col min="10" max="10" width="20.44140625" style="8" customWidth="1"/>
    <col min="11" max="16384" width="9.109375" style="8"/>
  </cols>
  <sheetData>
    <row r="1" spans="1:14" x14ac:dyDescent="0.25">
      <c r="J1" s="8" t="s">
        <v>91</v>
      </c>
    </row>
    <row r="2" spans="1:14" ht="25.5" customHeight="1" x14ac:dyDescent="0.25">
      <c r="A2" s="212" t="s">
        <v>90</v>
      </c>
      <c r="B2" s="212"/>
      <c r="C2" s="212"/>
      <c r="D2" s="212"/>
      <c r="E2" s="212"/>
      <c r="F2" s="212"/>
      <c r="G2" s="212"/>
      <c r="H2" s="212"/>
      <c r="I2" s="212"/>
      <c r="J2" s="212"/>
    </row>
    <row r="3" spans="1:14" ht="150" customHeight="1" x14ac:dyDescent="0.25">
      <c r="A3" s="17" t="s">
        <v>4</v>
      </c>
      <c r="B3" s="17" t="s">
        <v>74</v>
      </c>
      <c r="C3" s="17" t="s">
        <v>75</v>
      </c>
      <c r="D3" s="17" t="s">
        <v>76</v>
      </c>
      <c r="E3" s="17" t="s">
        <v>77</v>
      </c>
      <c r="F3" s="17" t="s">
        <v>78</v>
      </c>
      <c r="G3" s="17" t="s">
        <v>79</v>
      </c>
      <c r="H3" s="17" t="s">
        <v>80</v>
      </c>
      <c r="I3" s="17" t="s">
        <v>81</v>
      </c>
      <c r="J3" s="17" t="s">
        <v>82</v>
      </c>
      <c r="L3" s="18"/>
      <c r="M3" s="18"/>
      <c r="N3" s="18"/>
    </row>
    <row r="4" spans="1:14" ht="15" customHeight="1" x14ac:dyDescent="0.25">
      <c r="A4" s="7">
        <v>1</v>
      </c>
      <c r="B4" s="7">
        <v>2</v>
      </c>
      <c r="C4" s="7">
        <v>3</v>
      </c>
      <c r="D4" s="7">
        <v>4</v>
      </c>
      <c r="E4" s="7">
        <v>5</v>
      </c>
      <c r="F4" s="7">
        <v>6</v>
      </c>
      <c r="G4" s="7">
        <v>7</v>
      </c>
      <c r="H4" s="7">
        <v>8</v>
      </c>
      <c r="I4" s="7">
        <v>9</v>
      </c>
      <c r="J4" s="7">
        <v>10</v>
      </c>
      <c r="L4" s="18"/>
      <c r="M4" s="18"/>
      <c r="N4" s="18"/>
    </row>
    <row r="5" spans="1:14" s="9" customFormat="1" ht="45" customHeight="1" x14ac:dyDescent="0.3">
      <c r="A5" s="12"/>
      <c r="B5" s="29"/>
      <c r="C5" s="30"/>
      <c r="D5" s="16"/>
      <c r="E5" s="30"/>
      <c r="F5" s="30"/>
      <c r="G5" s="30"/>
      <c r="H5" s="12"/>
      <c r="I5" s="12"/>
      <c r="J5" s="12"/>
      <c r="L5" s="31"/>
      <c r="M5" s="31"/>
      <c r="N5" s="31"/>
    </row>
    <row r="6" spans="1:14" s="9" customFormat="1" ht="45" customHeight="1" x14ac:dyDescent="0.3">
      <c r="A6" s="12"/>
      <c r="B6" s="29"/>
      <c r="C6" s="30"/>
      <c r="D6" s="16"/>
      <c r="E6" s="30"/>
      <c r="F6" s="30"/>
      <c r="G6" s="30"/>
      <c r="H6" s="12"/>
      <c r="I6" s="12"/>
      <c r="J6" s="12"/>
      <c r="L6" s="31"/>
      <c r="M6" s="31"/>
      <c r="N6" s="31"/>
    </row>
    <row r="7" spans="1:14" s="9" customFormat="1" ht="45" customHeight="1" x14ac:dyDescent="0.3">
      <c r="A7" s="12"/>
      <c r="B7" s="29"/>
      <c r="C7" s="30"/>
      <c r="D7" s="32"/>
      <c r="E7" s="30"/>
      <c r="F7" s="33"/>
      <c r="G7" s="30"/>
      <c r="H7" s="12"/>
      <c r="I7" s="12"/>
      <c r="J7" s="12"/>
    </row>
    <row r="8" spans="1:14" s="9" customFormat="1" ht="45" customHeight="1" x14ac:dyDescent="0.3">
      <c r="A8" s="12"/>
      <c r="B8" s="29"/>
      <c r="C8" s="30"/>
      <c r="D8" s="32"/>
      <c r="E8" s="30"/>
      <c r="F8" s="33"/>
      <c r="G8" s="30"/>
      <c r="H8" s="12"/>
      <c r="I8" s="12"/>
      <c r="J8" s="12"/>
    </row>
    <row r="9" spans="1:14" s="9" customFormat="1" ht="45" customHeight="1" x14ac:dyDescent="0.3">
      <c r="A9" s="12"/>
      <c r="B9" s="29"/>
      <c r="C9" s="30"/>
      <c r="D9" s="32"/>
      <c r="E9" s="33"/>
      <c r="F9" s="33"/>
      <c r="G9" s="12"/>
      <c r="H9" s="12"/>
      <c r="I9" s="12"/>
      <c r="J9" s="12"/>
    </row>
    <row r="10" spans="1:14" s="9" customFormat="1" ht="45" customHeight="1" x14ac:dyDescent="0.3">
      <c r="A10" s="12"/>
      <c r="B10" s="29"/>
      <c r="C10" s="30"/>
      <c r="D10" s="32"/>
      <c r="E10" s="33"/>
      <c r="F10" s="33"/>
      <c r="G10" s="12"/>
      <c r="H10" s="12"/>
      <c r="I10" s="12"/>
      <c r="J10" s="12"/>
    </row>
    <row r="11" spans="1:14" s="9" customFormat="1" ht="45" customHeight="1" x14ac:dyDescent="0.3">
      <c r="A11" s="12"/>
      <c r="B11" s="29"/>
      <c r="C11" s="30"/>
      <c r="D11" s="32"/>
      <c r="E11" s="33"/>
      <c r="F11" s="33"/>
      <c r="G11" s="12"/>
      <c r="H11" s="12"/>
      <c r="I11" s="12"/>
      <c r="J11" s="12"/>
    </row>
    <row r="12" spans="1:14" s="9" customFormat="1" ht="45" customHeight="1" x14ac:dyDescent="0.3">
      <c r="A12" s="12"/>
      <c r="B12" s="29"/>
      <c r="C12" s="30"/>
      <c r="D12" s="32"/>
      <c r="E12" s="33"/>
      <c r="F12" s="33"/>
      <c r="G12" s="12"/>
      <c r="H12" s="12"/>
      <c r="I12" s="12"/>
      <c r="J12" s="12"/>
    </row>
    <row r="13" spans="1:14" s="9" customFormat="1" ht="45" customHeight="1" x14ac:dyDescent="0.3">
      <c r="A13" s="12"/>
      <c r="B13" s="29"/>
      <c r="C13" s="30"/>
      <c r="D13" s="32"/>
      <c r="E13" s="33"/>
      <c r="F13" s="33"/>
      <c r="G13" s="12"/>
      <c r="H13" s="12"/>
      <c r="I13" s="12"/>
      <c r="J13" s="12"/>
    </row>
    <row r="14" spans="1:14" s="9" customFormat="1" ht="45" customHeight="1" x14ac:dyDescent="0.3">
      <c r="A14" s="12"/>
      <c r="B14" s="29"/>
      <c r="C14" s="30"/>
      <c r="D14" s="32"/>
      <c r="E14" s="33"/>
      <c r="F14" s="33"/>
      <c r="G14" s="12"/>
      <c r="H14" s="12"/>
      <c r="I14" s="12"/>
      <c r="J14" s="12"/>
    </row>
  </sheetData>
  <mergeCells count="1">
    <mergeCell ref="A2:J2"/>
  </mergeCells>
  <pageMargins left="0.11811023622047245" right="0.11811023622047245" top="0.74803149606299213" bottom="0.15748031496062992" header="0.31496062992125984" footer="0.31496062992125984"/>
  <pageSetup paperSize="9" scale="8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Q32"/>
  <sheetViews>
    <sheetView workbookViewId="0"/>
  </sheetViews>
  <sheetFormatPr defaultColWidth="9.109375" defaultRowHeight="13.8" x14ac:dyDescent="0.25"/>
  <cols>
    <col min="1" max="1" width="7.44140625" style="10" customWidth="1"/>
    <col min="2" max="2" width="16" style="8" customWidth="1"/>
    <col min="3" max="3" width="11" style="11" customWidth="1"/>
    <col min="4" max="4" width="22.109375" style="8" customWidth="1"/>
    <col min="5" max="5" width="14.5546875" style="8" customWidth="1"/>
    <col min="6" max="6" width="14.33203125" style="11" customWidth="1"/>
    <col min="7" max="7" width="13.88671875" style="8" customWidth="1"/>
    <col min="8" max="8" width="12.44140625" style="8" customWidth="1"/>
    <col min="9" max="9" width="11.88671875" style="8" customWidth="1"/>
    <col min="10" max="10" width="12" style="8" customWidth="1"/>
    <col min="11" max="11" width="12.33203125" style="8" customWidth="1"/>
    <col min="12" max="12" width="15.6640625" style="8" customWidth="1"/>
    <col min="13" max="13" width="18.109375" style="8" customWidth="1"/>
    <col min="14" max="16384" width="9.109375" style="8"/>
  </cols>
  <sheetData>
    <row r="1" spans="1:17" x14ac:dyDescent="0.25">
      <c r="M1" s="8" t="s">
        <v>92</v>
      </c>
    </row>
    <row r="2" spans="1:17" x14ac:dyDescent="0.25">
      <c r="A2" s="212" t="s">
        <v>93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</row>
    <row r="3" spans="1:17" ht="150" customHeight="1" x14ac:dyDescent="0.25">
      <c r="A3" s="17" t="s">
        <v>83</v>
      </c>
      <c r="B3" s="17" t="s">
        <v>76</v>
      </c>
      <c r="C3" s="17" t="s">
        <v>77</v>
      </c>
      <c r="D3" s="17" t="s">
        <v>84</v>
      </c>
      <c r="E3" s="17" t="s">
        <v>79</v>
      </c>
      <c r="F3" s="17" t="s">
        <v>85</v>
      </c>
      <c r="G3" s="17" t="s">
        <v>86</v>
      </c>
      <c r="H3" s="17" t="s">
        <v>80</v>
      </c>
      <c r="I3" s="17" t="s">
        <v>87</v>
      </c>
      <c r="J3" s="17" t="s">
        <v>88</v>
      </c>
      <c r="K3" s="17" t="s">
        <v>81</v>
      </c>
      <c r="L3" s="17" t="s">
        <v>89</v>
      </c>
      <c r="M3" s="17" t="s">
        <v>82</v>
      </c>
      <c r="O3" s="18"/>
      <c r="P3" s="18"/>
      <c r="Q3" s="18"/>
    </row>
    <row r="4" spans="1:17" ht="15" customHeight="1" x14ac:dyDescent="0.25">
      <c r="A4" s="7">
        <v>1</v>
      </c>
      <c r="B4" s="7">
        <v>2</v>
      </c>
      <c r="C4" s="7">
        <v>3</v>
      </c>
      <c r="D4" s="7">
        <v>4</v>
      </c>
      <c r="E4" s="7">
        <v>5</v>
      </c>
      <c r="F4" s="7">
        <v>6</v>
      </c>
      <c r="G4" s="7">
        <v>7</v>
      </c>
      <c r="H4" s="7">
        <v>8</v>
      </c>
      <c r="I4" s="7">
        <v>9</v>
      </c>
      <c r="J4" s="7">
        <v>10</v>
      </c>
      <c r="K4" s="7">
        <v>11</v>
      </c>
      <c r="L4" s="7">
        <v>12</v>
      </c>
      <c r="M4" s="7">
        <v>13</v>
      </c>
      <c r="O4" s="18"/>
      <c r="P4" s="18"/>
      <c r="Q4" s="18"/>
    </row>
    <row r="5" spans="1:17" s="9" customFormat="1" ht="15" customHeight="1" x14ac:dyDescent="0.3">
      <c r="A5" s="12"/>
      <c r="B5" s="13"/>
      <c r="C5" s="14"/>
      <c r="D5" s="15"/>
      <c r="E5" s="14"/>
      <c r="F5" s="16"/>
      <c r="G5" s="12"/>
      <c r="H5" s="12"/>
      <c r="I5" s="12"/>
      <c r="J5" s="12"/>
      <c r="K5" s="12"/>
      <c r="L5" s="12"/>
      <c r="M5" s="15"/>
      <c r="O5" s="18"/>
      <c r="P5" s="18"/>
      <c r="Q5" s="18"/>
    </row>
    <row r="6" spans="1:17" s="9" customFormat="1" x14ac:dyDescent="0.3">
      <c r="A6" s="12"/>
      <c r="B6" s="13"/>
      <c r="C6" s="14"/>
      <c r="D6" s="3"/>
      <c r="E6" s="4"/>
      <c r="F6" s="4"/>
      <c r="G6" s="12"/>
      <c r="H6" s="12"/>
      <c r="I6" s="12"/>
      <c r="J6" s="12"/>
      <c r="K6" s="12"/>
      <c r="L6" s="12"/>
      <c r="M6" s="15"/>
    </row>
    <row r="7" spans="1:17" s="9" customFormat="1" x14ac:dyDescent="0.3">
      <c r="A7" s="12"/>
      <c r="B7" s="13"/>
      <c r="C7" s="14"/>
      <c r="D7" s="3"/>
      <c r="E7" s="4"/>
      <c r="F7" s="4"/>
      <c r="G7" s="12"/>
      <c r="H7" s="12"/>
      <c r="I7" s="12"/>
      <c r="J7" s="12"/>
      <c r="K7" s="12"/>
      <c r="L7" s="12"/>
      <c r="M7" s="15"/>
    </row>
    <row r="8" spans="1:17" s="9" customFormat="1" x14ac:dyDescent="0.3">
      <c r="A8" s="12"/>
      <c r="B8" s="13"/>
      <c r="C8" s="14"/>
      <c r="D8" s="3"/>
      <c r="E8" s="4"/>
      <c r="F8" s="4"/>
      <c r="G8" s="12"/>
      <c r="H8" s="12"/>
      <c r="I8" s="12"/>
      <c r="J8" s="12"/>
      <c r="K8" s="12"/>
      <c r="L8" s="12"/>
      <c r="M8" s="15"/>
    </row>
    <row r="9" spans="1:17" s="9" customFormat="1" x14ac:dyDescent="0.3">
      <c r="A9" s="12"/>
      <c r="B9" s="13"/>
      <c r="C9" s="14"/>
      <c r="D9" s="3"/>
      <c r="E9" s="4"/>
      <c r="F9" s="4"/>
      <c r="G9" s="12"/>
      <c r="H9" s="12"/>
      <c r="I9" s="12"/>
      <c r="J9" s="12"/>
      <c r="K9" s="12"/>
      <c r="L9" s="12"/>
      <c r="M9" s="15"/>
    </row>
    <row r="10" spans="1:17" s="9" customFormat="1" x14ac:dyDescent="0.3">
      <c r="A10" s="12"/>
      <c r="B10" s="13"/>
      <c r="C10" s="14"/>
      <c r="D10" s="3"/>
      <c r="E10" s="4"/>
      <c r="F10" s="4"/>
      <c r="G10" s="12"/>
      <c r="H10" s="12"/>
      <c r="I10" s="12"/>
      <c r="J10" s="12"/>
      <c r="K10" s="12"/>
      <c r="L10" s="12"/>
      <c r="M10" s="15"/>
    </row>
    <row r="11" spans="1:17" s="9" customFormat="1" x14ac:dyDescent="0.3">
      <c r="A11" s="12"/>
      <c r="B11" s="13"/>
      <c r="C11" s="14"/>
      <c r="D11" s="3"/>
      <c r="E11" s="4"/>
      <c r="F11" s="4"/>
      <c r="G11" s="12"/>
      <c r="H11" s="12"/>
      <c r="I11" s="12"/>
      <c r="J11" s="12"/>
      <c r="K11" s="12"/>
      <c r="L11" s="12"/>
      <c r="M11" s="15"/>
    </row>
    <row r="12" spans="1:17" s="9" customFormat="1" x14ac:dyDescent="0.3">
      <c r="A12" s="12"/>
      <c r="B12" s="13"/>
      <c r="C12" s="14"/>
      <c r="D12" s="3"/>
      <c r="E12" s="4"/>
      <c r="F12" s="4"/>
      <c r="G12" s="12"/>
      <c r="H12" s="12"/>
      <c r="I12" s="12"/>
      <c r="J12" s="12"/>
      <c r="K12" s="12"/>
      <c r="L12" s="12"/>
      <c r="M12" s="15"/>
    </row>
    <row r="13" spans="1:17" s="9" customFormat="1" x14ac:dyDescent="0.3">
      <c r="A13" s="12"/>
      <c r="B13" s="13"/>
      <c r="C13" s="14"/>
      <c r="D13" s="3"/>
      <c r="E13" s="4"/>
      <c r="F13" s="4"/>
      <c r="G13" s="12"/>
      <c r="H13" s="12"/>
      <c r="I13" s="12"/>
      <c r="J13" s="12"/>
      <c r="K13" s="12"/>
      <c r="L13" s="12"/>
      <c r="M13" s="15"/>
    </row>
    <row r="14" spans="1:17" s="9" customFormat="1" x14ac:dyDescent="0.3">
      <c r="A14" s="12"/>
      <c r="B14" s="13"/>
      <c r="C14" s="14"/>
      <c r="D14" s="3"/>
      <c r="E14" s="4"/>
      <c r="F14" s="4"/>
      <c r="G14" s="12"/>
      <c r="H14" s="12"/>
      <c r="I14" s="12"/>
      <c r="J14" s="12"/>
      <c r="K14" s="12"/>
      <c r="L14" s="12"/>
      <c r="M14" s="15"/>
    </row>
    <row r="15" spans="1:17" s="9" customFormat="1" x14ac:dyDescent="0.3">
      <c r="A15" s="12"/>
      <c r="B15" s="13"/>
      <c r="C15" s="14"/>
      <c r="D15" s="3"/>
      <c r="E15" s="4"/>
      <c r="F15" s="4"/>
      <c r="G15" s="12"/>
      <c r="H15" s="12"/>
      <c r="I15" s="12"/>
      <c r="J15" s="12"/>
      <c r="K15" s="12"/>
      <c r="L15" s="12"/>
      <c r="M15" s="15"/>
    </row>
    <row r="16" spans="1:17" s="9" customFormat="1" x14ac:dyDescent="0.3">
      <c r="A16" s="12"/>
      <c r="B16" s="13"/>
      <c r="C16" s="14"/>
      <c r="D16" s="3"/>
      <c r="E16" s="4"/>
      <c r="F16" s="4"/>
      <c r="G16" s="12"/>
      <c r="H16" s="12"/>
      <c r="I16" s="12"/>
      <c r="J16" s="12"/>
      <c r="K16" s="12"/>
      <c r="L16" s="12"/>
      <c r="M16" s="15"/>
    </row>
    <row r="17" spans="1:13" s="9" customFormat="1" x14ac:dyDescent="0.3">
      <c r="A17" s="12"/>
      <c r="B17" s="13"/>
      <c r="C17" s="14"/>
      <c r="D17" s="3"/>
      <c r="E17" s="4"/>
      <c r="F17" s="4"/>
      <c r="G17" s="12"/>
      <c r="H17" s="12"/>
      <c r="I17" s="12"/>
      <c r="J17" s="12"/>
      <c r="K17" s="12"/>
      <c r="L17" s="12"/>
      <c r="M17" s="15"/>
    </row>
    <row r="18" spans="1:13" s="9" customFormat="1" x14ac:dyDescent="0.3">
      <c r="A18" s="12"/>
      <c r="B18" s="13"/>
      <c r="C18" s="14"/>
      <c r="D18" s="3"/>
      <c r="E18" s="4"/>
      <c r="F18" s="4"/>
      <c r="G18" s="12"/>
      <c r="H18" s="12"/>
      <c r="I18" s="12"/>
      <c r="J18" s="12"/>
      <c r="K18" s="12"/>
      <c r="L18" s="12"/>
      <c r="M18" s="15"/>
    </row>
    <row r="19" spans="1:13" s="9" customFormat="1" x14ac:dyDescent="0.3">
      <c r="A19" s="12"/>
      <c r="B19" s="13"/>
      <c r="C19" s="14"/>
      <c r="D19" s="3"/>
      <c r="E19" s="4"/>
      <c r="F19" s="4"/>
      <c r="G19" s="12"/>
      <c r="H19" s="12"/>
      <c r="I19" s="12"/>
      <c r="J19" s="12"/>
      <c r="K19" s="12"/>
      <c r="L19" s="12"/>
      <c r="M19" s="15"/>
    </row>
    <row r="20" spans="1:13" s="9" customFormat="1" x14ac:dyDescent="0.3">
      <c r="A20" s="12"/>
      <c r="B20" s="13"/>
      <c r="C20" s="14"/>
      <c r="D20" s="3"/>
      <c r="E20" s="4"/>
      <c r="F20" s="4"/>
      <c r="G20" s="12"/>
      <c r="H20" s="12"/>
      <c r="I20" s="12"/>
      <c r="J20" s="12"/>
      <c r="K20" s="12"/>
      <c r="L20" s="12"/>
      <c r="M20" s="15"/>
    </row>
    <row r="21" spans="1:13" s="9" customFormat="1" x14ac:dyDescent="0.3">
      <c r="A21" s="12"/>
      <c r="B21" s="13"/>
      <c r="C21" s="14"/>
      <c r="D21" s="3"/>
      <c r="E21" s="4"/>
      <c r="F21" s="4"/>
      <c r="G21" s="12"/>
      <c r="H21" s="12"/>
      <c r="I21" s="12"/>
      <c r="J21" s="12"/>
      <c r="K21" s="12"/>
      <c r="L21" s="12"/>
      <c r="M21" s="15"/>
    </row>
    <row r="22" spans="1:13" s="9" customFormat="1" x14ac:dyDescent="0.3">
      <c r="A22" s="12"/>
      <c r="B22" s="13"/>
      <c r="C22" s="14"/>
      <c r="D22" s="3"/>
      <c r="E22" s="4"/>
      <c r="F22" s="4"/>
      <c r="G22" s="12"/>
      <c r="H22" s="12"/>
      <c r="I22" s="12"/>
      <c r="J22" s="12"/>
      <c r="K22" s="12"/>
      <c r="L22" s="12"/>
      <c r="M22" s="15"/>
    </row>
    <row r="23" spans="1:13" s="9" customFormat="1" x14ac:dyDescent="0.3">
      <c r="A23" s="12"/>
      <c r="B23" s="13"/>
      <c r="C23" s="14"/>
      <c r="D23" s="3"/>
      <c r="E23" s="4"/>
      <c r="F23" s="4"/>
      <c r="G23" s="12"/>
      <c r="H23" s="12"/>
      <c r="I23" s="12"/>
      <c r="J23" s="12"/>
      <c r="K23" s="12"/>
      <c r="L23" s="12"/>
      <c r="M23" s="15"/>
    </row>
    <row r="24" spans="1:13" s="9" customFormat="1" x14ac:dyDescent="0.3">
      <c r="A24" s="12"/>
      <c r="B24" s="13"/>
      <c r="C24" s="14"/>
      <c r="D24" s="3"/>
      <c r="E24" s="4"/>
      <c r="F24" s="4"/>
      <c r="G24" s="12"/>
      <c r="H24" s="12"/>
      <c r="I24" s="12"/>
      <c r="J24" s="12"/>
      <c r="K24" s="12"/>
      <c r="L24" s="12"/>
      <c r="M24" s="15"/>
    </row>
    <row r="25" spans="1:13" s="9" customFormat="1" x14ac:dyDescent="0.3">
      <c r="A25" s="12"/>
      <c r="B25" s="13"/>
      <c r="C25" s="14"/>
      <c r="D25" s="3"/>
      <c r="E25" s="4"/>
      <c r="F25" s="4"/>
      <c r="G25" s="12"/>
      <c r="H25" s="12"/>
      <c r="I25" s="12"/>
      <c r="J25" s="12"/>
      <c r="K25" s="12"/>
      <c r="L25" s="12"/>
      <c r="M25" s="15"/>
    </row>
    <row r="26" spans="1:13" s="9" customFormat="1" x14ac:dyDescent="0.3">
      <c r="A26" s="12"/>
      <c r="B26" s="13"/>
      <c r="C26" s="14"/>
      <c r="D26" s="3"/>
      <c r="E26" s="4"/>
      <c r="F26" s="4"/>
      <c r="G26" s="12"/>
      <c r="H26" s="12"/>
      <c r="I26" s="12"/>
      <c r="J26" s="12"/>
      <c r="K26" s="12"/>
      <c r="L26" s="12"/>
      <c r="M26" s="15"/>
    </row>
    <row r="27" spans="1:13" s="9" customFormat="1" x14ac:dyDescent="0.3">
      <c r="A27" s="12"/>
      <c r="B27" s="13"/>
      <c r="C27" s="14"/>
      <c r="D27" s="3"/>
      <c r="E27" s="4"/>
      <c r="F27" s="4"/>
      <c r="G27" s="12"/>
      <c r="H27" s="12"/>
      <c r="I27" s="12"/>
      <c r="J27" s="12"/>
      <c r="K27" s="12"/>
      <c r="L27" s="12"/>
      <c r="M27" s="15"/>
    </row>
    <row r="28" spans="1:13" s="9" customFormat="1" x14ac:dyDescent="0.3">
      <c r="A28" s="12"/>
      <c r="B28" s="13"/>
      <c r="C28" s="14"/>
      <c r="D28" s="3"/>
      <c r="E28" s="4"/>
      <c r="F28" s="4"/>
      <c r="G28" s="12"/>
      <c r="H28" s="12"/>
      <c r="I28" s="12"/>
      <c r="J28" s="12"/>
      <c r="K28" s="12"/>
      <c r="L28" s="12"/>
      <c r="M28" s="15"/>
    </row>
    <row r="29" spans="1:13" s="9" customFormat="1" x14ac:dyDescent="0.3">
      <c r="A29" s="12"/>
      <c r="B29" s="13"/>
      <c r="C29" s="14"/>
      <c r="D29" s="3"/>
      <c r="E29" s="4"/>
      <c r="F29" s="4"/>
      <c r="G29" s="12"/>
      <c r="H29" s="12"/>
      <c r="I29" s="12"/>
      <c r="J29" s="12"/>
      <c r="K29" s="12"/>
      <c r="L29" s="12"/>
      <c r="M29" s="15"/>
    </row>
    <row r="30" spans="1:13" s="9" customFormat="1" x14ac:dyDescent="0.3">
      <c r="A30" s="12"/>
      <c r="B30" s="13"/>
      <c r="C30" s="14"/>
      <c r="D30" s="3"/>
      <c r="E30" s="4"/>
      <c r="F30" s="4"/>
      <c r="G30" s="12"/>
      <c r="H30" s="12"/>
      <c r="I30" s="12"/>
      <c r="J30" s="12"/>
      <c r="K30" s="12"/>
      <c r="L30" s="12"/>
      <c r="M30" s="15"/>
    </row>
    <row r="31" spans="1:13" s="9" customFormat="1" x14ac:dyDescent="0.3">
      <c r="A31" s="12"/>
      <c r="B31" s="13"/>
      <c r="C31" s="14"/>
      <c r="D31" s="3"/>
      <c r="E31" s="4"/>
      <c r="F31" s="4"/>
      <c r="G31" s="12"/>
      <c r="H31" s="12"/>
      <c r="I31" s="12"/>
      <c r="J31" s="12"/>
      <c r="K31" s="12"/>
      <c r="L31" s="12"/>
      <c r="M31" s="15"/>
    </row>
    <row r="32" spans="1:13" s="9" customFormat="1" x14ac:dyDescent="0.3">
      <c r="A32" s="12"/>
      <c r="B32" s="13"/>
      <c r="C32" s="14"/>
      <c r="D32" s="3"/>
      <c r="E32" s="4"/>
      <c r="F32" s="4"/>
      <c r="G32" s="12"/>
      <c r="H32" s="12"/>
      <c r="I32" s="12"/>
      <c r="J32" s="12"/>
      <c r="K32" s="12"/>
      <c r="L32" s="12"/>
      <c r="M32" s="15"/>
    </row>
  </sheetData>
  <mergeCells count="1">
    <mergeCell ref="A2:M2"/>
  </mergeCells>
  <pageMargins left="0.25" right="0.25" top="0.75" bottom="0.75" header="0.3" footer="0.3"/>
  <pageSetup paperSize="9" scale="7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K89"/>
  <sheetViews>
    <sheetView tabSelected="1" view="pageBreakPreview" zoomScale="60" zoomScaleNormal="100" workbookViewId="0"/>
  </sheetViews>
  <sheetFormatPr defaultColWidth="9.109375" defaultRowHeight="13.8" x14ac:dyDescent="0.25"/>
  <cols>
    <col min="1" max="1" width="9.109375" style="8"/>
    <col min="2" max="2" width="7.44140625" style="8" customWidth="1"/>
    <col min="3" max="3" width="7.5546875" style="8" customWidth="1"/>
    <col min="4" max="4" width="8.33203125" style="8" customWidth="1"/>
    <col min="5" max="5" width="17.6640625" style="8" customWidth="1"/>
    <col min="6" max="6" width="14.44140625" style="8" customWidth="1"/>
    <col min="7" max="7" width="10.6640625" style="8" customWidth="1"/>
    <col min="8" max="8" width="11.44140625" style="8" customWidth="1"/>
    <col min="9" max="9" width="11.6640625" style="8" customWidth="1"/>
    <col min="10" max="10" width="9.109375" style="8"/>
    <col min="11" max="11" width="11.109375" style="8" customWidth="1"/>
    <col min="12" max="16384" width="9.109375" style="8"/>
  </cols>
  <sheetData>
    <row r="1" spans="1:11" x14ac:dyDescent="0.25">
      <c r="H1" s="8" t="s">
        <v>5</v>
      </c>
    </row>
    <row r="2" spans="1:11" x14ac:dyDescent="0.25">
      <c r="H2" s="8" t="s">
        <v>6</v>
      </c>
    </row>
    <row r="3" spans="1:11" ht="5.25" customHeight="1" x14ac:dyDescent="0.25">
      <c r="K3" s="76"/>
    </row>
    <row r="4" spans="1:11" ht="14.4" thickBot="1" x14ac:dyDescent="0.3">
      <c r="A4" s="180" t="s">
        <v>7</v>
      </c>
      <c r="B4" s="180"/>
      <c r="C4" s="180"/>
      <c r="D4" s="180"/>
      <c r="E4" s="180"/>
      <c r="F4" s="180"/>
      <c r="G4" s="180"/>
      <c r="H4" s="180"/>
      <c r="I4" s="180"/>
      <c r="K4" s="77" t="str">
        <f ca="1">MID(CELL("имяфайла",A1),SEARCH("]",CELL("имяфайла",A1))+1,LEN(CELL("имяфайла",A1)))</f>
        <v>АВК 4</v>
      </c>
    </row>
    <row r="5" spans="1:11" ht="10.5" customHeight="1" x14ac:dyDescent="0.25">
      <c r="F5" s="181" t="s">
        <v>95</v>
      </c>
      <c r="G5" s="182"/>
      <c r="H5" s="182"/>
      <c r="I5" s="183"/>
      <c r="K5" s="78">
        <f ca="1">RIGHT(K4,LEN(K4)-4)+2</f>
        <v>6</v>
      </c>
    </row>
    <row r="6" spans="1:11" ht="14.4" thickBot="1" x14ac:dyDescent="0.3">
      <c r="F6" s="184"/>
      <c r="G6" s="185"/>
      <c r="H6" s="185"/>
      <c r="I6" s="186"/>
      <c r="K6" s="79"/>
    </row>
    <row r="7" spans="1:11" x14ac:dyDescent="0.25">
      <c r="F7" s="187" t="s">
        <v>8</v>
      </c>
      <c r="G7" s="187"/>
      <c r="H7" s="187"/>
      <c r="I7" s="187"/>
    </row>
    <row r="8" spans="1:11" ht="46.8" customHeight="1" x14ac:dyDescent="0.25">
      <c r="A8" s="8" t="s">
        <v>9</v>
      </c>
      <c r="D8" s="188" t="str">
        <f>'Жвх.к (т)'!C17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E8" s="188"/>
      <c r="F8" s="188"/>
      <c r="G8" s="188"/>
      <c r="H8" s="188"/>
      <c r="I8" s="188"/>
    </row>
    <row r="9" spans="1:11" x14ac:dyDescent="0.25">
      <c r="A9" s="189" t="s">
        <v>10</v>
      </c>
      <c r="B9" s="189"/>
      <c r="C9" s="189"/>
      <c r="D9" s="190" t="s">
        <v>96</v>
      </c>
      <c r="E9" s="190"/>
      <c r="F9" s="190"/>
      <c r="G9" s="190"/>
      <c r="H9" s="190"/>
      <c r="I9" s="190"/>
    </row>
    <row r="11" spans="1:11" x14ac:dyDescent="0.25">
      <c r="A11" s="180" t="str">
        <f ca="1">CONCATENATE("АКТ № ",INDIRECT("'Форма журнала'!R"&amp;K5&amp;"C2",0))</f>
        <v>АКТ № 2</v>
      </c>
      <c r="B11" s="180"/>
      <c r="C11" s="180"/>
      <c r="D11" s="180"/>
      <c r="E11" s="180"/>
      <c r="F11" s="180"/>
      <c r="G11" s="180"/>
      <c r="H11" s="180"/>
      <c r="I11" s="180"/>
    </row>
    <row r="12" spans="1:11" x14ac:dyDescent="0.25">
      <c r="A12" s="180" t="s">
        <v>11</v>
      </c>
      <c r="B12" s="180"/>
      <c r="C12" s="180"/>
      <c r="D12" s="180"/>
      <c r="E12" s="180"/>
      <c r="F12" s="180"/>
      <c r="G12" s="180"/>
      <c r="H12" s="180"/>
      <c r="I12" s="180"/>
    </row>
    <row r="13" spans="1:11" x14ac:dyDescent="0.25">
      <c r="A13" s="172"/>
      <c r="B13" s="172"/>
      <c r="G13" s="193">
        <f ca="1">INDIRECT("'Форма журнала'!R"&amp;K5&amp;"C3",0)</f>
        <v>45607</v>
      </c>
      <c r="H13" s="193"/>
      <c r="I13" s="193"/>
    </row>
    <row r="14" spans="1:11" x14ac:dyDescent="0.25">
      <c r="A14" s="191" t="s">
        <v>12</v>
      </c>
      <c r="B14" s="191"/>
    </row>
    <row r="15" spans="1:11" x14ac:dyDescent="0.25">
      <c r="A15" s="8" t="s">
        <v>13</v>
      </c>
      <c r="C15" s="192" t="str">
        <f>'Жвх.к (т)'!B7</f>
        <v>ООО «СЭТ»</v>
      </c>
      <c r="D15" s="192"/>
      <c r="E15" s="192"/>
      <c r="F15" s="41" t="s">
        <v>523</v>
      </c>
      <c r="G15" s="41"/>
      <c r="H15" s="41"/>
      <c r="I15" s="41"/>
    </row>
    <row r="16" spans="1:11" x14ac:dyDescent="0.25">
      <c r="C16" s="19" t="s">
        <v>22</v>
      </c>
    </row>
    <row r="17" spans="1:9" x14ac:dyDescent="0.25">
      <c r="A17" s="8" t="s">
        <v>34</v>
      </c>
      <c r="C17" s="19"/>
    </row>
    <row r="18" spans="1:9" ht="30.75" customHeight="1" x14ac:dyDescent="0.3">
      <c r="A18" s="179" t="str">
        <f>CONCATENATE(ПОДПИСИ!B7," ",ПОДПИСИ!C7)</f>
        <v>Директор по строительству ООО «СЭТ» Потоцкий А.А.</v>
      </c>
      <c r="B18" s="179"/>
      <c r="C18" s="179"/>
      <c r="D18" s="179"/>
      <c r="E18" s="179"/>
      <c r="F18" s="179"/>
      <c r="G18" s="179"/>
      <c r="H18" s="179"/>
      <c r="I18" s="179"/>
    </row>
    <row r="19" spans="1:9" x14ac:dyDescent="0.25">
      <c r="A19" s="8" t="s">
        <v>23</v>
      </c>
    </row>
    <row r="20" spans="1:9" x14ac:dyDescent="0.25">
      <c r="B20" s="174" t="str">
        <f>CONCATENATE(ПОДПИСИ!B9," ",ПОДПИСИ!C9)</f>
        <v>Начальник участка ООО «СЭТ» Нугуманов М.А.</v>
      </c>
      <c r="C20" s="174"/>
      <c r="D20" s="174"/>
      <c r="E20" s="174"/>
      <c r="F20" s="174"/>
      <c r="G20" s="174"/>
      <c r="H20" s="174"/>
      <c r="I20" s="174"/>
    </row>
    <row r="21" spans="1:9" ht="9" customHeight="1" x14ac:dyDescent="0.25">
      <c r="B21" s="173" t="s">
        <v>24</v>
      </c>
      <c r="C21" s="173"/>
      <c r="D21" s="173"/>
      <c r="E21" s="173"/>
      <c r="F21" s="173"/>
      <c r="G21" s="173"/>
      <c r="H21" s="173"/>
      <c r="I21" s="173"/>
    </row>
    <row r="22" spans="1:9" ht="30.75" customHeight="1" x14ac:dyDescent="0.25">
      <c r="B22" s="174" t="str">
        <f>CONCATENATE(ПОДПИСИ!B11," ",ПОДПИСИ!C11)</f>
        <v>Ведущий инженер строительного контроля ООО «СЭТ» Кольцов А.Г.</v>
      </c>
      <c r="C22" s="174"/>
      <c r="D22" s="174"/>
      <c r="E22" s="174"/>
      <c r="F22" s="174"/>
      <c r="G22" s="174"/>
      <c r="H22" s="174"/>
      <c r="I22" s="174"/>
    </row>
    <row r="23" spans="1:9" ht="11.25" customHeight="1" x14ac:dyDescent="0.25">
      <c r="B23" s="173" t="s">
        <v>24</v>
      </c>
      <c r="C23" s="173"/>
      <c r="D23" s="173"/>
      <c r="E23" s="173"/>
      <c r="F23" s="173"/>
      <c r="G23" s="173"/>
      <c r="H23" s="173"/>
      <c r="I23" s="173"/>
    </row>
    <row r="24" spans="1:9" x14ac:dyDescent="0.25">
      <c r="B24" s="172"/>
      <c r="C24" s="172"/>
      <c r="D24" s="172"/>
      <c r="E24" s="172"/>
      <c r="F24" s="172"/>
      <c r="G24" s="172"/>
      <c r="H24" s="172"/>
      <c r="I24" s="172"/>
    </row>
    <row r="25" spans="1:9" ht="10.5" customHeight="1" x14ac:dyDescent="0.25">
      <c r="B25" s="173" t="s">
        <v>24</v>
      </c>
      <c r="C25" s="173"/>
      <c r="D25" s="173"/>
      <c r="E25" s="173"/>
      <c r="F25" s="173"/>
      <c r="G25" s="173"/>
      <c r="H25" s="173"/>
      <c r="I25" s="173"/>
    </row>
    <row r="26" spans="1:9" x14ac:dyDescent="0.25">
      <c r="A26" s="8" t="s">
        <v>25</v>
      </c>
    </row>
    <row r="27" spans="1:9" ht="44.25" customHeight="1" x14ac:dyDescent="0.25">
      <c r="A27" s="174" t="s">
        <v>102</v>
      </c>
      <c r="B27" s="174"/>
      <c r="C27" s="174"/>
      <c r="D27" s="174"/>
      <c r="E27" s="174"/>
      <c r="F27" s="174"/>
      <c r="G27" s="174"/>
      <c r="H27" s="174"/>
      <c r="I27" s="174"/>
    </row>
    <row r="28" spans="1:9" x14ac:dyDescent="0.25">
      <c r="A28" s="175" t="s">
        <v>26</v>
      </c>
      <c r="B28" s="175"/>
      <c r="C28" s="175"/>
      <c r="D28" s="175"/>
      <c r="E28" s="175"/>
      <c r="F28" s="175"/>
      <c r="G28" s="175"/>
      <c r="H28" s="175"/>
      <c r="I28" s="175"/>
    </row>
    <row r="29" spans="1:9" x14ac:dyDescent="0.25">
      <c r="A29" s="176" t="s">
        <v>27</v>
      </c>
      <c r="B29" s="176"/>
      <c r="C29" s="176"/>
      <c r="D29" s="176"/>
      <c r="E29" s="176"/>
      <c r="F29" s="176"/>
      <c r="G29" s="176"/>
      <c r="H29" s="176"/>
      <c r="I29" s="176"/>
    </row>
    <row r="30" spans="1:9" x14ac:dyDescent="0.25">
      <c r="A30" s="177" t="s">
        <v>28</v>
      </c>
      <c r="B30" s="177"/>
      <c r="C30" s="177"/>
      <c r="D30" s="177"/>
      <c r="E30" s="177"/>
      <c r="F30" s="177"/>
      <c r="G30" s="177"/>
      <c r="H30" s="177"/>
      <c r="I30" s="177"/>
    </row>
    <row r="31" spans="1:9" x14ac:dyDescent="0.25">
      <c r="A31" s="174" t="str">
        <f ca="1">INDIRECT("'Форма журнала'!R"&amp;K5&amp;"C4",0)</f>
        <v>Разрядник мультикамерный РМК-20-IV-УХЛ1</v>
      </c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5" t="s">
        <v>29</v>
      </c>
      <c r="B32" s="175"/>
      <c r="C32" s="175"/>
      <c r="D32" s="175"/>
      <c r="E32" s="175"/>
      <c r="F32" s="175"/>
      <c r="G32" s="175"/>
      <c r="H32" s="175"/>
      <c r="I32" s="175"/>
    </row>
    <row r="33" spans="1:11" x14ac:dyDescent="0.25">
      <c r="A33" s="178" t="s">
        <v>30</v>
      </c>
      <c r="B33" s="178"/>
      <c r="C33" s="178"/>
      <c r="D33" s="178"/>
      <c r="E33" s="178"/>
      <c r="F33" s="178"/>
      <c r="G33" s="178"/>
      <c r="H33" s="178"/>
      <c r="I33" s="178"/>
    </row>
    <row r="34" spans="1:11" ht="21" customHeight="1" x14ac:dyDescent="0.25">
      <c r="A34" s="194" t="str">
        <f ca="1">INDIRECT("'Форма журнала'!R"&amp;K5&amp;"C7",0)</f>
        <v>Сертификат соответствия №РОСС RU.ЕФ01.Н00004-22 с 10.04.2022 по 09.04.2025</v>
      </c>
      <c r="B34" s="194"/>
      <c r="C34" s="194"/>
      <c r="D34" s="194"/>
      <c r="E34" s="194"/>
      <c r="F34" s="20" t="s">
        <v>31</v>
      </c>
      <c r="G34" s="195"/>
      <c r="H34" s="195"/>
      <c r="I34" s="195"/>
    </row>
    <row r="35" spans="1:11" x14ac:dyDescent="0.25">
      <c r="A35" s="175" t="s">
        <v>33</v>
      </c>
      <c r="B35" s="175"/>
      <c r="C35" s="175"/>
      <c r="D35" s="175"/>
      <c r="E35" s="175"/>
      <c r="F35" s="21"/>
      <c r="G35" s="175" t="s">
        <v>32</v>
      </c>
      <c r="H35" s="175"/>
      <c r="I35" s="175"/>
    </row>
    <row r="36" spans="1:11" x14ac:dyDescent="0.25">
      <c r="A36" s="177" t="s">
        <v>104</v>
      </c>
      <c r="B36" s="177"/>
      <c r="C36" s="192" t="str">
        <f ca="1">INDIRECT("'Форма журнала'!R"&amp;K5&amp;"C5",0)</f>
        <v>108 шт.</v>
      </c>
      <c r="D36" s="192"/>
      <c r="E36" s="192"/>
      <c r="F36" s="26" t="s">
        <v>68</v>
      </c>
      <c r="G36" s="196"/>
      <c r="H36" s="196"/>
      <c r="I36" s="196"/>
    </row>
    <row r="37" spans="1:11" x14ac:dyDescent="0.25">
      <c r="A37" s="21"/>
      <c r="B37" s="21"/>
      <c r="C37" s="175" t="s">
        <v>35</v>
      </c>
      <c r="D37" s="175"/>
      <c r="E37" s="175"/>
      <c r="F37" s="21"/>
      <c r="G37" s="191" t="s">
        <v>36</v>
      </c>
      <c r="H37" s="191"/>
      <c r="I37" s="191"/>
    </row>
    <row r="38" spans="1:11" ht="40.799999999999997" customHeight="1" x14ac:dyDescent="0.25">
      <c r="A38" s="177" t="s">
        <v>37</v>
      </c>
      <c r="B38" s="177"/>
      <c r="C38" s="174" t="str">
        <f ca="1">INDIRECT("'Форма журнала'!R"&amp;K5&amp;"C6",0)</f>
        <v>АО "НПО "Стример"</v>
      </c>
      <c r="D38" s="174"/>
      <c r="E38" s="174"/>
      <c r="F38" s="20" t="s">
        <v>38</v>
      </c>
      <c r="G38" s="195"/>
      <c r="H38" s="195"/>
      <c r="I38" s="195"/>
      <c r="K38" s="28"/>
    </row>
    <row r="39" spans="1:11" x14ac:dyDescent="0.25">
      <c r="A39" s="22"/>
      <c r="B39" s="22"/>
      <c r="C39" s="175" t="s">
        <v>39</v>
      </c>
      <c r="D39" s="175"/>
      <c r="E39" s="175"/>
      <c r="F39" s="20"/>
      <c r="G39" s="191" t="s">
        <v>40</v>
      </c>
      <c r="H39" s="191"/>
      <c r="I39" s="191"/>
    </row>
    <row r="40" spans="1:11" x14ac:dyDescent="0.25">
      <c r="A40" s="22" t="s">
        <v>41</v>
      </c>
      <c r="B40" s="22"/>
      <c r="C40" s="21"/>
      <c r="D40" s="21"/>
      <c r="E40" s="21"/>
      <c r="F40" s="197" t="s">
        <v>101</v>
      </c>
      <c r="G40" s="197"/>
      <c r="H40" s="197"/>
      <c r="I40" s="197"/>
    </row>
    <row r="41" spans="1:11" x14ac:dyDescent="0.25">
      <c r="F41" s="198" t="s">
        <v>42</v>
      </c>
      <c r="G41" s="198"/>
      <c r="H41" s="198"/>
      <c r="I41" s="198"/>
    </row>
    <row r="42" spans="1:11" x14ac:dyDescent="0.25">
      <c r="A42" s="199" t="s">
        <v>43</v>
      </c>
      <c r="B42" s="199"/>
      <c r="C42" s="199"/>
      <c r="D42" s="199"/>
      <c r="E42" s="199"/>
      <c r="F42" s="199"/>
      <c r="G42" s="199"/>
      <c r="H42" s="199"/>
      <c r="I42" s="199"/>
    </row>
    <row r="43" spans="1:11" ht="30" customHeight="1" x14ac:dyDescent="0.25">
      <c r="A43" s="202" t="s">
        <v>14</v>
      </c>
      <c r="B43" s="202"/>
      <c r="C43" s="202"/>
      <c r="D43" s="202"/>
      <c r="E43" s="202" t="s">
        <v>17</v>
      </c>
      <c r="F43" s="202" t="s">
        <v>18</v>
      </c>
      <c r="G43" s="202" t="s">
        <v>19</v>
      </c>
      <c r="H43" s="202" t="s">
        <v>20</v>
      </c>
      <c r="I43" s="202" t="s">
        <v>21</v>
      </c>
    </row>
    <row r="44" spans="1:11" ht="32.25" customHeight="1" x14ac:dyDescent="0.25">
      <c r="A44" s="202" t="s">
        <v>15</v>
      </c>
      <c r="B44" s="202"/>
      <c r="C44" s="202" t="s">
        <v>16</v>
      </c>
      <c r="D44" s="202"/>
      <c r="E44" s="202"/>
      <c r="F44" s="202"/>
      <c r="G44" s="202"/>
      <c r="H44" s="202"/>
      <c r="I44" s="202"/>
    </row>
    <row r="45" spans="1:11" x14ac:dyDescent="0.25">
      <c r="A45" s="201">
        <v>1</v>
      </c>
      <c r="B45" s="201"/>
      <c r="C45" s="201">
        <v>2</v>
      </c>
      <c r="D45" s="201"/>
      <c r="E45" s="23">
        <v>3</v>
      </c>
      <c r="F45" s="23">
        <v>4</v>
      </c>
      <c r="G45" s="23">
        <v>5</v>
      </c>
      <c r="H45" s="23">
        <v>6</v>
      </c>
      <c r="I45" s="23">
        <v>7</v>
      </c>
    </row>
    <row r="46" spans="1:11" x14ac:dyDescent="0.25">
      <c r="A46" s="24" t="str">
        <f ca="1">C36</f>
        <v>108 шт.</v>
      </c>
      <c r="B46" s="24"/>
      <c r="C46" s="24"/>
      <c r="D46" s="24"/>
      <c r="E46" s="24"/>
      <c r="F46" s="24"/>
      <c r="G46" s="24"/>
      <c r="H46" s="24"/>
      <c r="I46" s="24" t="s">
        <v>127</v>
      </c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00" t="s">
        <v>44</v>
      </c>
      <c r="B48" s="200"/>
      <c r="C48" s="200"/>
      <c r="D48" s="200"/>
      <c r="E48" s="200"/>
      <c r="F48" s="200"/>
      <c r="G48" s="200"/>
      <c r="H48" s="200"/>
      <c r="I48" s="200"/>
    </row>
    <row r="49" spans="1:9" x14ac:dyDescent="0.25">
      <c r="A49" s="189" t="s">
        <v>45</v>
      </c>
      <c r="B49" s="189"/>
      <c r="C49" s="189"/>
      <c r="D49" s="189"/>
      <c r="E49" s="189"/>
      <c r="F49" s="192" t="s">
        <v>97</v>
      </c>
      <c r="G49" s="192"/>
      <c r="H49" s="192"/>
      <c r="I49" s="192"/>
    </row>
    <row r="50" spans="1:9" ht="10.5" customHeight="1" x14ac:dyDescent="0.25">
      <c r="A50" s="25"/>
      <c r="B50" s="25"/>
      <c r="C50" s="25"/>
      <c r="D50" s="25"/>
      <c r="E50" s="25"/>
      <c r="F50" s="198" t="s">
        <v>47</v>
      </c>
      <c r="G50" s="198"/>
      <c r="H50" s="198"/>
      <c r="I50" s="198"/>
    </row>
    <row r="51" spans="1:9" ht="15" customHeight="1" x14ac:dyDescent="0.25">
      <c r="A51" s="189" t="s">
        <v>46</v>
      </c>
      <c r="B51" s="189"/>
      <c r="C51" s="189"/>
      <c r="D51" s="189"/>
      <c r="E51" s="189"/>
      <c r="F51" s="192" t="s">
        <v>95</v>
      </c>
      <c r="G51" s="192"/>
      <c r="H51" s="192"/>
      <c r="I51" s="192"/>
    </row>
    <row r="52" spans="1:9" ht="12.75" customHeight="1" x14ac:dyDescent="0.25">
      <c r="F52" s="198" t="s">
        <v>48</v>
      </c>
      <c r="G52" s="198"/>
      <c r="H52" s="198"/>
      <c r="I52" s="198"/>
    </row>
    <row r="53" spans="1:9" x14ac:dyDescent="0.25">
      <c r="A53" s="189" t="s">
        <v>49</v>
      </c>
      <c r="B53" s="189"/>
      <c r="C53" s="189"/>
      <c r="D53" s="189"/>
      <c r="E53" s="189"/>
      <c r="F53" s="192" t="s">
        <v>95</v>
      </c>
      <c r="G53" s="192"/>
      <c r="H53" s="192"/>
      <c r="I53" s="192"/>
    </row>
    <row r="54" spans="1:9" ht="11.25" customHeight="1" x14ac:dyDescent="0.25">
      <c r="F54" s="198" t="s">
        <v>48</v>
      </c>
      <c r="G54" s="198"/>
      <c r="H54" s="198"/>
      <c r="I54" s="198"/>
    </row>
    <row r="55" spans="1:9" x14ac:dyDescent="0.25">
      <c r="A55" s="189" t="s">
        <v>50</v>
      </c>
      <c r="B55" s="189"/>
      <c r="C55" s="189"/>
      <c r="D55" s="189"/>
      <c r="E55" s="189"/>
      <c r="F55" s="192" t="s">
        <v>95</v>
      </c>
      <c r="G55" s="192"/>
      <c r="H55" s="192"/>
      <c r="I55" s="192"/>
    </row>
    <row r="56" spans="1:9" ht="10.5" customHeight="1" x14ac:dyDescent="0.25">
      <c r="F56" s="198" t="s">
        <v>48</v>
      </c>
      <c r="G56" s="198"/>
      <c r="H56" s="198"/>
      <c r="I56" s="198"/>
    </row>
    <row r="57" spans="1:9" ht="15" customHeight="1" x14ac:dyDescent="0.25">
      <c r="A57" s="189" t="s">
        <v>51</v>
      </c>
      <c r="B57" s="189"/>
      <c r="C57" s="189"/>
      <c r="D57" s="189"/>
      <c r="E57" s="189"/>
      <c r="F57" s="192" t="str">
        <f ca="1">IF(OR(INDIRECT("'Форма журнала'!R"&amp;K5&amp;"C13",0)="",INDIRECT("'Форма журнала'!R"&amp;K5&amp;"C13",0)=0),"отсутствует",INDIRECT("'Форма журнала'!R"&amp;K5&amp;"C13",0))</f>
        <v>I3-224/15</v>
      </c>
      <c r="G57" s="192"/>
      <c r="H57" s="192"/>
      <c r="I57" s="192"/>
    </row>
    <row r="58" spans="1:9" ht="9.75" customHeight="1" x14ac:dyDescent="0.25">
      <c r="F58" s="198" t="s">
        <v>48</v>
      </c>
      <c r="G58" s="198"/>
      <c r="H58" s="198"/>
      <c r="I58" s="198"/>
    </row>
    <row r="59" spans="1:9" x14ac:dyDescent="0.25">
      <c r="A59" s="189" t="s">
        <v>52</v>
      </c>
      <c r="B59" s="189"/>
      <c r="C59" s="189"/>
      <c r="D59" s="189"/>
      <c r="E59" s="189"/>
      <c r="F59" s="189"/>
      <c r="G59" s="189"/>
      <c r="H59" s="192" t="s">
        <v>98</v>
      </c>
      <c r="I59" s="192"/>
    </row>
    <row r="60" spans="1:9" x14ac:dyDescent="0.25">
      <c r="H60" s="203" t="s">
        <v>53</v>
      </c>
      <c r="I60" s="203"/>
    </row>
    <row r="61" spans="1:9" x14ac:dyDescent="0.25">
      <c r="A61" s="8" t="s">
        <v>54</v>
      </c>
      <c r="B61" s="192" t="s">
        <v>99</v>
      </c>
      <c r="C61" s="192"/>
      <c r="D61" s="192"/>
      <c r="E61" s="8" t="s">
        <v>55</v>
      </c>
      <c r="F61" s="192" t="s">
        <v>100</v>
      </c>
      <c r="G61" s="192"/>
      <c r="H61" s="192"/>
      <c r="I61" s="192"/>
    </row>
    <row r="62" spans="1:9" x14ac:dyDescent="0.25">
      <c r="B62" s="203" t="s">
        <v>57</v>
      </c>
      <c r="C62" s="203"/>
      <c r="D62" s="203"/>
      <c r="F62" s="198" t="s">
        <v>56</v>
      </c>
      <c r="G62" s="198"/>
      <c r="H62" s="198"/>
      <c r="I62" s="198"/>
    </row>
    <row r="63" spans="1:9" x14ac:dyDescent="0.25">
      <c r="A63" s="189" t="s">
        <v>58</v>
      </c>
      <c r="B63" s="189"/>
      <c r="C63" s="189"/>
      <c r="D63" s="189"/>
      <c r="E63" s="189"/>
      <c r="F63" s="189"/>
      <c r="G63" s="189"/>
      <c r="H63" s="189"/>
      <c r="I63" s="189"/>
    </row>
    <row r="64" spans="1:9" x14ac:dyDescent="0.25">
      <c r="A64" s="172"/>
      <c r="B64" s="172"/>
      <c r="C64" s="172"/>
      <c r="D64" s="172"/>
      <c r="E64" s="172"/>
      <c r="F64" s="172"/>
      <c r="G64" s="172"/>
      <c r="H64" s="172"/>
      <c r="I64" s="172"/>
    </row>
    <row r="65" spans="1:9" ht="11.25" customHeight="1" x14ac:dyDescent="0.25">
      <c r="A65" s="198" t="s">
        <v>59</v>
      </c>
      <c r="B65" s="198"/>
      <c r="C65" s="198"/>
      <c r="D65" s="198"/>
      <c r="E65" s="198"/>
      <c r="F65" s="198"/>
      <c r="G65" s="198"/>
      <c r="H65" s="198"/>
      <c r="I65" s="198"/>
    </row>
    <row r="66" spans="1:9" x14ac:dyDescent="0.25">
      <c r="A66" s="172"/>
      <c r="B66" s="172"/>
      <c r="C66" s="172"/>
      <c r="D66" s="172"/>
      <c r="E66" s="172"/>
      <c r="F66" s="172"/>
      <c r="G66" s="172"/>
      <c r="H66" s="172"/>
      <c r="I66" s="172"/>
    </row>
    <row r="67" spans="1:9" ht="12" customHeight="1" x14ac:dyDescent="0.25">
      <c r="A67" s="198" t="s">
        <v>60</v>
      </c>
      <c r="B67" s="198"/>
      <c r="C67" s="198"/>
      <c r="D67" s="198"/>
      <c r="E67" s="198"/>
      <c r="F67" s="198"/>
      <c r="G67" s="198"/>
      <c r="H67" s="198"/>
      <c r="I67" s="198"/>
    </row>
    <row r="68" spans="1:9" x14ac:dyDescent="0.25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ht="8.25" customHeight="1" x14ac:dyDescent="0.25"/>
    <row r="70" spans="1:9" x14ac:dyDescent="0.25">
      <c r="A70" s="204" t="s">
        <v>61</v>
      </c>
      <c r="B70" s="204"/>
      <c r="C70" s="204"/>
      <c r="D70" s="204"/>
      <c r="E70" s="172"/>
      <c r="F70" s="172"/>
      <c r="G70" s="172"/>
      <c r="H70" s="172"/>
      <c r="I70" s="172"/>
    </row>
    <row r="71" spans="1:9" ht="12.75" customHeight="1" x14ac:dyDescent="0.25">
      <c r="E71" s="198" t="s">
        <v>62</v>
      </c>
      <c r="F71" s="198"/>
      <c r="G71" s="198"/>
      <c r="H71" s="198"/>
      <c r="I71" s="198"/>
    </row>
    <row r="73" spans="1:9" ht="28.5" customHeight="1" x14ac:dyDescent="0.25">
      <c r="A73" s="189" t="s">
        <v>63</v>
      </c>
      <c r="B73" s="189"/>
      <c r="C73" s="174" t="str">
        <f>A18</f>
        <v>Директор по строительству ООО «СЭТ» Потоцкий А.А.</v>
      </c>
      <c r="D73" s="174"/>
      <c r="E73" s="174"/>
      <c r="F73" s="174"/>
      <c r="G73" s="174"/>
      <c r="H73" s="174"/>
      <c r="I73" s="174"/>
    </row>
    <row r="74" spans="1:9" ht="12" customHeight="1" x14ac:dyDescent="0.25">
      <c r="C74" s="198" t="s">
        <v>64</v>
      </c>
      <c r="D74" s="198"/>
      <c r="E74" s="198"/>
      <c r="F74" s="198"/>
      <c r="G74" s="198"/>
      <c r="H74" s="198"/>
      <c r="I74" s="198"/>
    </row>
    <row r="76" spans="1:9" x14ac:dyDescent="0.25">
      <c r="A76" s="189" t="s">
        <v>65</v>
      </c>
      <c r="B76" s="189"/>
      <c r="C76" s="174" t="str">
        <f>B20</f>
        <v>Начальник участка ООО «СЭТ» Нугуманов М.А.</v>
      </c>
      <c r="D76" s="174"/>
      <c r="E76" s="174"/>
      <c r="F76" s="174"/>
      <c r="G76" s="174"/>
      <c r="H76" s="174"/>
      <c r="I76" s="174"/>
    </row>
    <row r="77" spans="1:9" ht="11.25" customHeight="1" x14ac:dyDescent="0.25">
      <c r="C77" s="173" t="s">
        <v>64</v>
      </c>
      <c r="D77" s="173"/>
      <c r="E77" s="173"/>
      <c r="F77" s="173"/>
      <c r="G77" s="173"/>
      <c r="H77" s="173"/>
      <c r="I77" s="173"/>
    </row>
    <row r="78" spans="1:9" ht="28.5" customHeight="1" x14ac:dyDescent="0.25">
      <c r="C78" s="174" t="str">
        <f>B22</f>
        <v>Ведущий инженер строительного контроля ООО «СЭТ» Кольцов А.Г.</v>
      </c>
      <c r="D78" s="174"/>
      <c r="E78" s="174"/>
      <c r="F78" s="174"/>
      <c r="G78" s="174"/>
      <c r="H78" s="174"/>
      <c r="I78" s="174"/>
    </row>
    <row r="79" spans="1:9" ht="12" customHeight="1" x14ac:dyDescent="0.25">
      <c r="C79" s="173" t="s">
        <v>64</v>
      </c>
      <c r="D79" s="173"/>
      <c r="E79" s="173"/>
      <c r="F79" s="173"/>
      <c r="G79" s="173"/>
      <c r="H79" s="173"/>
      <c r="I79" s="173"/>
    </row>
    <row r="80" spans="1:9" x14ac:dyDescent="0.25">
      <c r="C80" s="172"/>
      <c r="D80" s="172"/>
      <c r="E80" s="172"/>
      <c r="F80" s="172"/>
      <c r="G80" s="172"/>
      <c r="H80" s="172"/>
      <c r="I80" s="172"/>
    </row>
    <row r="81" spans="1:9" x14ac:dyDescent="0.25">
      <c r="C81" s="173" t="s">
        <v>64</v>
      </c>
      <c r="D81" s="173"/>
      <c r="E81" s="173"/>
      <c r="F81" s="173"/>
      <c r="G81" s="173"/>
      <c r="H81" s="173"/>
      <c r="I81" s="173"/>
    </row>
    <row r="83" spans="1:9" x14ac:dyDescent="0.25">
      <c r="A83" s="189" t="s">
        <v>66</v>
      </c>
      <c r="B83" s="189"/>
      <c r="C83" s="189"/>
    </row>
    <row r="84" spans="1:9" x14ac:dyDescent="0.25">
      <c r="A84" s="192" t="str">
        <f>CONCATENATE(ПОДПИСИ!B13," ",ПОДПИСИ!C13)</f>
        <v>Ведущий инженер отдела строительного контроля АО "ЛЭСР" Сафуанова В.А.</v>
      </c>
      <c r="B84" s="192"/>
      <c r="C84" s="192"/>
      <c r="D84" s="192"/>
      <c r="E84" s="192"/>
      <c r="F84" s="192"/>
      <c r="G84" s="192"/>
      <c r="H84" s="192"/>
      <c r="I84" s="192"/>
    </row>
    <row r="85" spans="1:9" x14ac:dyDescent="0.25">
      <c r="A85" s="191" t="s">
        <v>64</v>
      </c>
      <c r="B85" s="191"/>
      <c r="C85" s="191"/>
      <c r="D85" s="191"/>
      <c r="E85" s="191"/>
      <c r="F85" s="191"/>
      <c r="G85" s="191"/>
      <c r="H85" s="191"/>
      <c r="I85" s="191"/>
    </row>
    <row r="87" spans="1:9" x14ac:dyDescent="0.25">
      <c r="A87" s="189" t="s">
        <v>67</v>
      </c>
      <c r="B87" s="189"/>
      <c r="C87" s="172"/>
      <c r="D87" s="172"/>
      <c r="E87" s="172"/>
      <c r="F87" s="172"/>
      <c r="G87" s="172"/>
      <c r="H87" s="172"/>
      <c r="I87" s="172"/>
    </row>
    <row r="88" spans="1:9" x14ac:dyDescent="0.25">
      <c r="A88" s="172"/>
      <c r="B88" s="172"/>
      <c r="C88" s="172"/>
      <c r="D88" s="172"/>
      <c r="E88" s="172"/>
      <c r="F88" s="172"/>
      <c r="G88" s="172"/>
      <c r="H88" s="172"/>
      <c r="I88" s="172"/>
    </row>
    <row r="89" spans="1:9" x14ac:dyDescent="0.25">
      <c r="A89" s="205"/>
      <c r="B89" s="205"/>
      <c r="C89" s="205"/>
      <c r="D89" s="205"/>
      <c r="E89" s="205"/>
      <c r="F89" s="205"/>
      <c r="G89" s="205"/>
      <c r="H89" s="205"/>
      <c r="I89" s="205"/>
    </row>
  </sheetData>
  <mergeCells count="102">
    <mergeCell ref="A11:I11"/>
    <mergeCell ref="A12:I12"/>
    <mergeCell ref="A13:B13"/>
    <mergeCell ref="G13:I13"/>
    <mergeCell ref="A14:B14"/>
    <mergeCell ref="C15:E15"/>
    <mergeCell ref="A4:I4"/>
    <mergeCell ref="F5:I6"/>
    <mergeCell ref="F7:I7"/>
    <mergeCell ref="D8:I8"/>
    <mergeCell ref="A9:C9"/>
    <mergeCell ref="D9:I9"/>
    <mergeCell ref="B25:I25"/>
    <mergeCell ref="A27:I27"/>
    <mergeCell ref="A28:I28"/>
    <mergeCell ref="A29:I29"/>
    <mergeCell ref="A30:I30"/>
    <mergeCell ref="A31:I31"/>
    <mergeCell ref="A18:I18"/>
    <mergeCell ref="B20:I20"/>
    <mergeCell ref="B21:I21"/>
    <mergeCell ref="B22:I22"/>
    <mergeCell ref="B23:I23"/>
    <mergeCell ref="B24:I24"/>
    <mergeCell ref="A36:B36"/>
    <mergeCell ref="C36:E36"/>
    <mergeCell ref="G36:I36"/>
    <mergeCell ref="C37:E37"/>
    <mergeCell ref="G37:I37"/>
    <mergeCell ref="A38:B38"/>
    <mergeCell ref="C38:E38"/>
    <mergeCell ref="G38:I38"/>
    <mergeCell ref="A32:I32"/>
    <mergeCell ref="A33:I33"/>
    <mergeCell ref="A34:E34"/>
    <mergeCell ref="G34:I34"/>
    <mergeCell ref="A35:E35"/>
    <mergeCell ref="G35:I35"/>
    <mergeCell ref="I43:I44"/>
    <mergeCell ref="A44:B44"/>
    <mergeCell ref="C44:D44"/>
    <mergeCell ref="A45:B45"/>
    <mergeCell ref="C45:D45"/>
    <mergeCell ref="A48:I48"/>
    <mergeCell ref="C39:E39"/>
    <mergeCell ref="G39:I39"/>
    <mergeCell ref="F40:I40"/>
    <mergeCell ref="F41:I41"/>
    <mergeCell ref="A42:I42"/>
    <mergeCell ref="A43:D43"/>
    <mergeCell ref="E43:E44"/>
    <mergeCell ref="F43:F44"/>
    <mergeCell ref="G43:G44"/>
    <mergeCell ref="H43:H44"/>
    <mergeCell ref="A53:E53"/>
    <mergeCell ref="F53:I53"/>
    <mergeCell ref="F54:I54"/>
    <mergeCell ref="A55:E55"/>
    <mergeCell ref="F55:I55"/>
    <mergeCell ref="F56:I56"/>
    <mergeCell ref="A49:E49"/>
    <mergeCell ref="F49:I49"/>
    <mergeCell ref="F50:I50"/>
    <mergeCell ref="A51:E51"/>
    <mergeCell ref="F51:I51"/>
    <mergeCell ref="F52:I52"/>
    <mergeCell ref="B61:D61"/>
    <mergeCell ref="F61:I61"/>
    <mergeCell ref="B62:D62"/>
    <mergeCell ref="F62:I62"/>
    <mergeCell ref="A63:I63"/>
    <mergeCell ref="A64:I64"/>
    <mergeCell ref="A57:E57"/>
    <mergeCell ref="F57:I57"/>
    <mergeCell ref="F58:I58"/>
    <mergeCell ref="A59:G59"/>
    <mergeCell ref="H59:I59"/>
    <mergeCell ref="H60:I60"/>
    <mergeCell ref="E71:I71"/>
    <mergeCell ref="A73:B73"/>
    <mergeCell ref="C73:I73"/>
    <mergeCell ref="C74:I74"/>
    <mergeCell ref="A76:B76"/>
    <mergeCell ref="C76:I76"/>
    <mergeCell ref="A65:I65"/>
    <mergeCell ref="A66:I66"/>
    <mergeCell ref="A67:I67"/>
    <mergeCell ref="A68:I68"/>
    <mergeCell ref="A70:D70"/>
    <mergeCell ref="E70:I70"/>
    <mergeCell ref="A84:I84"/>
    <mergeCell ref="A85:I85"/>
    <mergeCell ref="A87:B87"/>
    <mergeCell ref="C87:I87"/>
    <mergeCell ref="A88:I88"/>
    <mergeCell ref="A89:I89"/>
    <mergeCell ref="C77:I77"/>
    <mergeCell ref="C78:I78"/>
    <mergeCell ref="C79:I79"/>
    <mergeCell ref="C80:I80"/>
    <mergeCell ref="C81:I81"/>
    <mergeCell ref="A83:C83"/>
  </mergeCells>
  <dataValidations count="5">
    <dataValidation type="list" allowBlank="1" showInputMessage="1" showErrorMessage="1" sqref="B61:D61" xr:uid="{00000000-0002-0000-0700-000000000000}">
      <formula1>"допущена, не допущена"</formula1>
    </dataValidation>
    <dataValidation type="list" allowBlank="1" showInputMessage="1" showErrorMessage="1" sqref="H59:I59" xr:uid="{00000000-0002-0000-0700-000001000000}">
      <formula1>"пригодной, непригодной"</formula1>
    </dataValidation>
    <dataValidation type="list" allowBlank="1" showInputMessage="1" showErrorMessage="1" sqref="F49:I49" xr:uid="{00000000-0002-0000-0700-000002000000}">
      <formula1>"соответствуют, не соотвествуют"</formula1>
    </dataValidation>
    <dataValidation type="list" allowBlank="1" showInputMessage="1" showErrorMessage="1" sqref="F51:I51 F53:I53 F55:I55" xr:uid="{00000000-0002-0000-0700-000003000000}">
      <formula1>"соответствует, не соотвествует"</formula1>
    </dataValidation>
    <dataValidation type="list" allowBlank="1" showInputMessage="1" showErrorMessage="1" sqref="F40:I40" xr:uid="{00000000-0002-0000-0700-000004000000}">
      <formula1>"выполнена, не выполнена"</formula1>
    </dataValidation>
  </dataValidations>
  <pageMargins left="0.25" right="0.25" top="0.75" bottom="0.75" header="0.3" footer="0.3"/>
  <pageSetup paperSize="9" scale="98" orientation="portrait" r:id="rId1"/>
  <rowBreaks count="1" manualBreakCount="1">
    <brk id="41" max="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K89"/>
  <sheetViews>
    <sheetView tabSelected="1" view="pageBreakPreview" zoomScale="60" zoomScaleNormal="100" workbookViewId="0"/>
  </sheetViews>
  <sheetFormatPr defaultColWidth="9.109375" defaultRowHeight="13.8" x14ac:dyDescent="0.25"/>
  <cols>
    <col min="1" max="1" width="9.109375" style="8"/>
    <col min="2" max="2" width="7.44140625" style="8" customWidth="1"/>
    <col min="3" max="3" width="7.5546875" style="8" customWidth="1"/>
    <col min="4" max="4" width="8.33203125" style="8" customWidth="1"/>
    <col min="5" max="5" width="17.6640625" style="8" customWidth="1"/>
    <col min="6" max="6" width="14.44140625" style="8" customWidth="1"/>
    <col min="7" max="7" width="10.6640625" style="8" customWidth="1"/>
    <col min="8" max="8" width="11.44140625" style="8" customWidth="1"/>
    <col min="9" max="9" width="11.6640625" style="8" customWidth="1"/>
    <col min="10" max="10" width="9.109375" style="8"/>
    <col min="11" max="11" width="11.109375" style="8" customWidth="1"/>
    <col min="12" max="16384" width="9.109375" style="8"/>
  </cols>
  <sheetData>
    <row r="1" spans="1:11" x14ac:dyDescent="0.25">
      <c r="H1" s="8" t="s">
        <v>5</v>
      </c>
    </row>
    <row r="2" spans="1:11" x14ac:dyDescent="0.25">
      <c r="H2" s="8" t="s">
        <v>6</v>
      </c>
    </row>
    <row r="3" spans="1:11" ht="5.25" customHeight="1" x14ac:dyDescent="0.25">
      <c r="K3" s="76"/>
    </row>
    <row r="4" spans="1:11" ht="14.4" thickBot="1" x14ac:dyDescent="0.3">
      <c r="A4" s="180" t="s">
        <v>7</v>
      </c>
      <c r="B4" s="180"/>
      <c r="C4" s="180"/>
      <c r="D4" s="180"/>
      <c r="E4" s="180"/>
      <c r="F4" s="180"/>
      <c r="G4" s="180"/>
      <c r="H4" s="180"/>
      <c r="I4" s="180"/>
      <c r="K4" s="77" t="str">
        <f ca="1">MID(CELL("имяфайла",A1),SEARCH("]",CELL("имяфайла",A1))+1,LEN(CELL("имяфайла",A1)))</f>
        <v>АВК 5</v>
      </c>
    </row>
    <row r="5" spans="1:11" ht="10.5" customHeight="1" x14ac:dyDescent="0.25">
      <c r="F5" s="181" t="s">
        <v>95</v>
      </c>
      <c r="G5" s="182"/>
      <c r="H5" s="182"/>
      <c r="I5" s="183"/>
      <c r="K5" s="78">
        <f ca="1">RIGHT(K4,LEN(K4)-4)+2</f>
        <v>7</v>
      </c>
    </row>
    <row r="6" spans="1:11" ht="14.4" thickBot="1" x14ac:dyDescent="0.3">
      <c r="F6" s="184"/>
      <c r="G6" s="185"/>
      <c r="H6" s="185"/>
      <c r="I6" s="186"/>
      <c r="K6" s="79"/>
    </row>
    <row r="7" spans="1:11" x14ac:dyDescent="0.25">
      <c r="F7" s="187" t="s">
        <v>8</v>
      </c>
      <c r="G7" s="187"/>
      <c r="H7" s="187"/>
      <c r="I7" s="187"/>
    </row>
    <row r="8" spans="1:11" ht="46.8" customHeight="1" x14ac:dyDescent="0.25">
      <c r="A8" s="8" t="s">
        <v>9</v>
      </c>
      <c r="D8" s="188" t="str">
        <f>'Жвх.к (т)'!C17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E8" s="188"/>
      <c r="F8" s="188"/>
      <c r="G8" s="188"/>
      <c r="H8" s="188"/>
      <c r="I8" s="188"/>
    </row>
    <row r="9" spans="1:11" x14ac:dyDescent="0.25">
      <c r="A9" s="189" t="s">
        <v>10</v>
      </c>
      <c r="B9" s="189"/>
      <c r="C9" s="189"/>
      <c r="D9" s="190" t="s">
        <v>96</v>
      </c>
      <c r="E9" s="190"/>
      <c r="F9" s="190"/>
      <c r="G9" s="190"/>
      <c r="H9" s="190"/>
      <c r="I9" s="190"/>
    </row>
    <row r="11" spans="1:11" x14ac:dyDescent="0.25">
      <c r="A11" s="180" t="str">
        <f ca="1">CONCATENATE("АКТ № ",INDIRECT("'Форма журнала'!R"&amp;K5&amp;"C2",0))</f>
        <v>АКТ № 3</v>
      </c>
      <c r="B11" s="180"/>
      <c r="C11" s="180"/>
      <c r="D11" s="180"/>
      <c r="E11" s="180"/>
      <c r="F11" s="180"/>
      <c r="G11" s="180"/>
      <c r="H11" s="180"/>
      <c r="I11" s="180"/>
    </row>
    <row r="12" spans="1:11" x14ac:dyDescent="0.25">
      <c r="A12" s="180" t="s">
        <v>11</v>
      </c>
      <c r="B12" s="180"/>
      <c r="C12" s="180"/>
      <c r="D12" s="180"/>
      <c r="E12" s="180"/>
      <c r="F12" s="180"/>
      <c r="G12" s="180"/>
      <c r="H12" s="180"/>
      <c r="I12" s="180"/>
    </row>
    <row r="13" spans="1:11" x14ac:dyDescent="0.25">
      <c r="A13" s="172"/>
      <c r="B13" s="172"/>
      <c r="G13" s="193">
        <f ca="1">INDIRECT("'Форма журнала'!R"&amp;K5&amp;"C3",0)</f>
        <v>45607</v>
      </c>
      <c r="H13" s="193"/>
      <c r="I13" s="193"/>
    </row>
    <row r="14" spans="1:11" x14ac:dyDescent="0.25">
      <c r="A14" s="191" t="s">
        <v>12</v>
      </c>
      <c r="B14" s="191"/>
    </row>
    <row r="15" spans="1:11" x14ac:dyDescent="0.25">
      <c r="A15" s="8" t="s">
        <v>13</v>
      </c>
      <c r="C15" s="192" t="str">
        <f>'Жвх.к (т)'!B7</f>
        <v>ООО «СЭТ»</v>
      </c>
      <c r="D15" s="192"/>
      <c r="E15" s="192"/>
      <c r="F15" s="41" t="s">
        <v>523</v>
      </c>
      <c r="G15" s="41"/>
      <c r="H15" s="41"/>
      <c r="I15" s="41"/>
    </row>
    <row r="16" spans="1:11" x14ac:dyDescent="0.25">
      <c r="C16" s="19" t="s">
        <v>22</v>
      </c>
    </row>
    <row r="17" spans="1:9" x14ac:dyDescent="0.25">
      <c r="A17" s="8" t="s">
        <v>34</v>
      </c>
      <c r="C17" s="19"/>
    </row>
    <row r="18" spans="1:9" ht="30.75" customHeight="1" x14ac:dyDescent="0.3">
      <c r="A18" s="179" t="str">
        <f>CONCATENATE(ПОДПИСИ!B7," ",ПОДПИСИ!C7)</f>
        <v>Директор по строительству ООО «СЭТ» Потоцкий А.А.</v>
      </c>
      <c r="B18" s="179"/>
      <c r="C18" s="179"/>
      <c r="D18" s="179"/>
      <c r="E18" s="179"/>
      <c r="F18" s="179"/>
      <c r="G18" s="179"/>
      <c r="H18" s="179"/>
      <c r="I18" s="179"/>
    </row>
    <row r="19" spans="1:9" x14ac:dyDescent="0.25">
      <c r="A19" s="8" t="s">
        <v>23</v>
      </c>
    </row>
    <row r="20" spans="1:9" x14ac:dyDescent="0.25">
      <c r="B20" s="174" t="str">
        <f>CONCATENATE(ПОДПИСИ!B9," ",ПОДПИСИ!C9)</f>
        <v>Начальник участка ООО «СЭТ» Нугуманов М.А.</v>
      </c>
      <c r="C20" s="174"/>
      <c r="D20" s="174"/>
      <c r="E20" s="174"/>
      <c r="F20" s="174"/>
      <c r="G20" s="174"/>
      <c r="H20" s="174"/>
      <c r="I20" s="174"/>
    </row>
    <row r="21" spans="1:9" ht="9" customHeight="1" x14ac:dyDescent="0.25">
      <c r="B21" s="173" t="s">
        <v>24</v>
      </c>
      <c r="C21" s="173"/>
      <c r="D21" s="173"/>
      <c r="E21" s="173"/>
      <c r="F21" s="173"/>
      <c r="G21" s="173"/>
      <c r="H21" s="173"/>
      <c r="I21" s="173"/>
    </row>
    <row r="22" spans="1:9" ht="30.75" customHeight="1" x14ac:dyDescent="0.25">
      <c r="B22" s="174" t="str">
        <f>CONCATENATE(ПОДПИСИ!B11," ",ПОДПИСИ!C11)</f>
        <v>Ведущий инженер строительного контроля ООО «СЭТ» Кольцов А.Г.</v>
      </c>
      <c r="C22" s="174"/>
      <c r="D22" s="174"/>
      <c r="E22" s="174"/>
      <c r="F22" s="174"/>
      <c r="G22" s="174"/>
      <c r="H22" s="174"/>
      <c r="I22" s="174"/>
    </row>
    <row r="23" spans="1:9" ht="11.25" customHeight="1" x14ac:dyDescent="0.25">
      <c r="B23" s="173" t="s">
        <v>24</v>
      </c>
      <c r="C23" s="173"/>
      <c r="D23" s="173"/>
      <c r="E23" s="173"/>
      <c r="F23" s="173"/>
      <c r="G23" s="173"/>
      <c r="H23" s="173"/>
      <c r="I23" s="173"/>
    </row>
    <row r="24" spans="1:9" x14ac:dyDescent="0.25">
      <c r="B24" s="172"/>
      <c r="C24" s="172"/>
      <c r="D24" s="172"/>
      <c r="E24" s="172"/>
      <c r="F24" s="172"/>
      <c r="G24" s="172"/>
      <c r="H24" s="172"/>
      <c r="I24" s="172"/>
    </row>
    <row r="25" spans="1:9" ht="10.5" customHeight="1" x14ac:dyDescent="0.25">
      <c r="B25" s="173" t="s">
        <v>24</v>
      </c>
      <c r="C25" s="173"/>
      <c r="D25" s="173"/>
      <c r="E25" s="173"/>
      <c r="F25" s="173"/>
      <c r="G25" s="173"/>
      <c r="H25" s="173"/>
      <c r="I25" s="173"/>
    </row>
    <row r="26" spans="1:9" x14ac:dyDescent="0.25">
      <c r="A26" s="8" t="s">
        <v>25</v>
      </c>
    </row>
    <row r="27" spans="1:9" ht="39" customHeight="1" x14ac:dyDescent="0.25">
      <c r="A27" s="174" t="s">
        <v>102</v>
      </c>
      <c r="B27" s="174"/>
      <c r="C27" s="174"/>
      <c r="D27" s="174"/>
      <c r="E27" s="174"/>
      <c r="F27" s="174"/>
      <c r="G27" s="174"/>
      <c r="H27" s="174"/>
      <c r="I27" s="174"/>
    </row>
    <row r="28" spans="1:9" x14ac:dyDescent="0.25">
      <c r="A28" s="175" t="s">
        <v>26</v>
      </c>
      <c r="B28" s="175"/>
      <c r="C28" s="175"/>
      <c r="D28" s="175"/>
      <c r="E28" s="175"/>
      <c r="F28" s="175"/>
      <c r="G28" s="175"/>
      <c r="H28" s="175"/>
      <c r="I28" s="175"/>
    </row>
    <row r="29" spans="1:9" x14ac:dyDescent="0.25">
      <c r="A29" s="176" t="s">
        <v>27</v>
      </c>
      <c r="B29" s="176"/>
      <c r="C29" s="176"/>
      <c r="D29" s="176"/>
      <c r="E29" s="176"/>
      <c r="F29" s="176"/>
      <c r="G29" s="176"/>
      <c r="H29" s="176"/>
      <c r="I29" s="176"/>
    </row>
    <row r="30" spans="1:9" x14ac:dyDescent="0.25">
      <c r="A30" s="177" t="s">
        <v>28</v>
      </c>
      <c r="B30" s="177"/>
      <c r="C30" s="177"/>
      <c r="D30" s="177"/>
      <c r="E30" s="177"/>
      <c r="F30" s="177"/>
      <c r="G30" s="177"/>
      <c r="H30" s="177"/>
      <c r="I30" s="177"/>
    </row>
    <row r="31" spans="1:9" x14ac:dyDescent="0.25">
      <c r="A31" s="174" t="str">
        <f ca="1">INDIRECT("'Форма журнала'!R"&amp;K5&amp;"C4",0)</f>
        <v>Разрядник мультикамерный экранного типа РМКЭ-10-IV-УХЛ1</v>
      </c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5" t="s">
        <v>29</v>
      </c>
      <c r="B32" s="175"/>
      <c r="C32" s="175"/>
      <c r="D32" s="175"/>
      <c r="E32" s="175"/>
      <c r="F32" s="175"/>
      <c r="G32" s="175"/>
      <c r="H32" s="175"/>
      <c r="I32" s="175"/>
    </row>
    <row r="33" spans="1:11" x14ac:dyDescent="0.25">
      <c r="A33" s="178" t="s">
        <v>30</v>
      </c>
      <c r="B33" s="178"/>
      <c r="C33" s="178"/>
      <c r="D33" s="178"/>
      <c r="E33" s="178"/>
      <c r="F33" s="178"/>
      <c r="G33" s="178"/>
      <c r="H33" s="178"/>
      <c r="I33" s="178"/>
    </row>
    <row r="34" spans="1:11" ht="24.6" customHeight="1" x14ac:dyDescent="0.25">
      <c r="A34" s="194" t="str">
        <f ca="1">INDIRECT("'Форма журнала'!R"&amp;K5&amp;"C7",0)</f>
        <v>Сертификат соответствия №РОСС RU.ЕФ01.Н00004-22 с 10.04.2022 по 09.04.2025</v>
      </c>
      <c r="B34" s="194"/>
      <c r="C34" s="194"/>
      <c r="D34" s="194"/>
      <c r="E34" s="194"/>
      <c r="F34" s="20" t="s">
        <v>31</v>
      </c>
      <c r="G34" s="195"/>
      <c r="H34" s="195"/>
      <c r="I34" s="195"/>
    </row>
    <row r="35" spans="1:11" x14ac:dyDescent="0.25">
      <c r="A35" s="175" t="s">
        <v>33</v>
      </c>
      <c r="B35" s="175"/>
      <c r="C35" s="175"/>
      <c r="D35" s="175"/>
      <c r="E35" s="175"/>
      <c r="F35" s="21"/>
      <c r="G35" s="175" t="s">
        <v>32</v>
      </c>
      <c r="H35" s="175"/>
      <c r="I35" s="175"/>
    </row>
    <row r="36" spans="1:11" x14ac:dyDescent="0.25">
      <c r="A36" s="177" t="s">
        <v>104</v>
      </c>
      <c r="B36" s="177"/>
      <c r="C36" s="192" t="str">
        <f ca="1">INDIRECT("'Форма журнала'!R"&amp;K5&amp;"C5",0)</f>
        <v>30 шт.</v>
      </c>
      <c r="D36" s="192"/>
      <c r="E36" s="192"/>
      <c r="F36" s="26" t="s">
        <v>68</v>
      </c>
      <c r="G36" s="196"/>
      <c r="H36" s="196"/>
      <c r="I36" s="196"/>
    </row>
    <row r="37" spans="1:11" x14ac:dyDescent="0.25">
      <c r="A37" s="21"/>
      <c r="B37" s="21"/>
      <c r="C37" s="175" t="s">
        <v>35</v>
      </c>
      <c r="D37" s="175"/>
      <c r="E37" s="175"/>
      <c r="F37" s="21"/>
      <c r="G37" s="191" t="s">
        <v>36</v>
      </c>
      <c r="H37" s="191"/>
      <c r="I37" s="191"/>
    </row>
    <row r="38" spans="1:11" x14ac:dyDescent="0.25">
      <c r="A38" s="177" t="s">
        <v>37</v>
      </c>
      <c r="B38" s="177"/>
      <c r="C38" s="174" t="str">
        <f ca="1">INDIRECT("'Форма журнала'!R"&amp;K5&amp;"C6",0)</f>
        <v>АО "НПО "Стример"</v>
      </c>
      <c r="D38" s="174"/>
      <c r="E38" s="174"/>
      <c r="F38" s="20" t="s">
        <v>38</v>
      </c>
      <c r="G38" s="195"/>
      <c r="H38" s="195"/>
      <c r="I38" s="195"/>
      <c r="K38" s="28"/>
    </row>
    <row r="39" spans="1:11" x14ac:dyDescent="0.25">
      <c r="A39" s="22"/>
      <c r="B39" s="22"/>
      <c r="C39" s="175" t="s">
        <v>39</v>
      </c>
      <c r="D39" s="175"/>
      <c r="E39" s="175"/>
      <c r="F39" s="20"/>
      <c r="G39" s="191" t="s">
        <v>40</v>
      </c>
      <c r="H39" s="191"/>
      <c r="I39" s="191"/>
    </row>
    <row r="40" spans="1:11" x14ac:dyDescent="0.25">
      <c r="A40" s="22" t="s">
        <v>41</v>
      </c>
      <c r="B40" s="22"/>
      <c r="C40" s="21"/>
      <c r="D40" s="21"/>
      <c r="E40" s="21"/>
      <c r="F40" s="197" t="s">
        <v>101</v>
      </c>
      <c r="G40" s="197"/>
      <c r="H40" s="197"/>
      <c r="I40" s="197"/>
    </row>
    <row r="41" spans="1:11" x14ac:dyDescent="0.25">
      <c r="F41" s="198" t="s">
        <v>42</v>
      </c>
      <c r="G41" s="198"/>
      <c r="H41" s="198"/>
      <c r="I41" s="198"/>
    </row>
    <row r="42" spans="1:11" x14ac:dyDescent="0.25">
      <c r="A42" s="199" t="s">
        <v>43</v>
      </c>
      <c r="B42" s="199"/>
      <c r="C42" s="199"/>
      <c r="D42" s="199"/>
      <c r="E42" s="199"/>
      <c r="F42" s="199"/>
      <c r="G42" s="199"/>
      <c r="H42" s="199"/>
      <c r="I42" s="199"/>
    </row>
    <row r="43" spans="1:11" ht="30" customHeight="1" x14ac:dyDescent="0.25">
      <c r="A43" s="202" t="s">
        <v>14</v>
      </c>
      <c r="B43" s="202"/>
      <c r="C43" s="202"/>
      <c r="D43" s="202"/>
      <c r="E43" s="202" t="s">
        <v>17</v>
      </c>
      <c r="F43" s="202" t="s">
        <v>18</v>
      </c>
      <c r="G43" s="202" t="s">
        <v>19</v>
      </c>
      <c r="H43" s="202" t="s">
        <v>20</v>
      </c>
      <c r="I43" s="202" t="s">
        <v>21</v>
      </c>
    </row>
    <row r="44" spans="1:11" ht="32.25" customHeight="1" x14ac:dyDescent="0.25">
      <c r="A44" s="202" t="s">
        <v>15</v>
      </c>
      <c r="B44" s="202"/>
      <c r="C44" s="202" t="s">
        <v>16</v>
      </c>
      <c r="D44" s="202"/>
      <c r="E44" s="202"/>
      <c r="F44" s="202"/>
      <c r="G44" s="202"/>
      <c r="H44" s="202"/>
      <c r="I44" s="202"/>
    </row>
    <row r="45" spans="1:11" x14ac:dyDescent="0.25">
      <c r="A45" s="201">
        <v>1</v>
      </c>
      <c r="B45" s="201"/>
      <c r="C45" s="201">
        <v>2</v>
      </c>
      <c r="D45" s="201"/>
      <c r="E45" s="23">
        <v>3</v>
      </c>
      <c r="F45" s="23">
        <v>4</v>
      </c>
      <c r="G45" s="23">
        <v>5</v>
      </c>
      <c r="H45" s="23">
        <v>6</v>
      </c>
      <c r="I45" s="23">
        <v>7</v>
      </c>
    </row>
    <row r="46" spans="1:11" x14ac:dyDescent="0.25">
      <c r="A46" s="24" t="str">
        <f ca="1">C36</f>
        <v>30 шт.</v>
      </c>
      <c r="B46" s="24"/>
      <c r="C46" s="24"/>
      <c r="D46" s="24"/>
      <c r="E46" s="24"/>
      <c r="F46" s="24"/>
      <c r="G46" s="24"/>
      <c r="H46" s="24"/>
      <c r="I46" s="24" t="s">
        <v>127</v>
      </c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00" t="s">
        <v>44</v>
      </c>
      <c r="B48" s="200"/>
      <c r="C48" s="200"/>
      <c r="D48" s="200"/>
      <c r="E48" s="200"/>
      <c r="F48" s="200"/>
      <c r="G48" s="200"/>
      <c r="H48" s="200"/>
      <c r="I48" s="200"/>
    </row>
    <row r="49" spans="1:9" x14ac:dyDescent="0.25">
      <c r="A49" s="189" t="s">
        <v>45</v>
      </c>
      <c r="B49" s="189"/>
      <c r="C49" s="189"/>
      <c r="D49" s="189"/>
      <c r="E49" s="189"/>
      <c r="F49" s="192" t="s">
        <v>97</v>
      </c>
      <c r="G49" s="192"/>
      <c r="H49" s="192"/>
      <c r="I49" s="192"/>
    </row>
    <row r="50" spans="1:9" ht="10.5" customHeight="1" x14ac:dyDescent="0.25">
      <c r="A50" s="25"/>
      <c r="B50" s="25"/>
      <c r="C50" s="25"/>
      <c r="D50" s="25"/>
      <c r="E50" s="25"/>
      <c r="F50" s="198" t="s">
        <v>47</v>
      </c>
      <c r="G50" s="198"/>
      <c r="H50" s="198"/>
      <c r="I50" s="198"/>
    </row>
    <row r="51" spans="1:9" ht="15" customHeight="1" x14ac:dyDescent="0.25">
      <c r="A51" s="189" t="s">
        <v>46</v>
      </c>
      <c r="B51" s="189"/>
      <c r="C51" s="189"/>
      <c r="D51" s="189"/>
      <c r="E51" s="189"/>
      <c r="F51" s="192" t="s">
        <v>95</v>
      </c>
      <c r="G51" s="192"/>
      <c r="H51" s="192"/>
      <c r="I51" s="192"/>
    </row>
    <row r="52" spans="1:9" ht="12.75" customHeight="1" x14ac:dyDescent="0.25">
      <c r="F52" s="198" t="s">
        <v>48</v>
      </c>
      <c r="G52" s="198"/>
      <c r="H52" s="198"/>
      <c r="I52" s="198"/>
    </row>
    <row r="53" spans="1:9" x14ac:dyDescent="0.25">
      <c r="A53" s="189" t="s">
        <v>49</v>
      </c>
      <c r="B53" s="189"/>
      <c r="C53" s="189"/>
      <c r="D53" s="189"/>
      <c r="E53" s="189"/>
      <c r="F53" s="192" t="s">
        <v>95</v>
      </c>
      <c r="G53" s="192"/>
      <c r="H53" s="192"/>
      <c r="I53" s="192"/>
    </row>
    <row r="54" spans="1:9" ht="11.25" customHeight="1" x14ac:dyDescent="0.25">
      <c r="F54" s="198" t="s">
        <v>48</v>
      </c>
      <c r="G54" s="198"/>
      <c r="H54" s="198"/>
      <c r="I54" s="198"/>
    </row>
    <row r="55" spans="1:9" x14ac:dyDescent="0.25">
      <c r="A55" s="189" t="s">
        <v>50</v>
      </c>
      <c r="B55" s="189"/>
      <c r="C55" s="189"/>
      <c r="D55" s="189"/>
      <c r="E55" s="189"/>
      <c r="F55" s="192" t="s">
        <v>95</v>
      </c>
      <c r="G55" s="192"/>
      <c r="H55" s="192"/>
      <c r="I55" s="192"/>
    </row>
    <row r="56" spans="1:9" ht="10.5" customHeight="1" x14ac:dyDescent="0.25">
      <c r="F56" s="198" t="s">
        <v>48</v>
      </c>
      <c r="G56" s="198"/>
      <c r="H56" s="198"/>
      <c r="I56" s="198"/>
    </row>
    <row r="57" spans="1:9" ht="15" customHeight="1" x14ac:dyDescent="0.25">
      <c r="A57" s="189" t="s">
        <v>51</v>
      </c>
      <c r="B57" s="189"/>
      <c r="C57" s="189"/>
      <c r="D57" s="189"/>
      <c r="E57" s="189"/>
      <c r="F57" s="192" t="str">
        <f ca="1">IF(OR(INDIRECT("'Форма журнала'!R"&amp;K5&amp;"C13",0)="",INDIRECT("'Форма журнала'!R"&amp;K5&amp;"C13",0)=0),"отсутствует",INDIRECT("'Форма журнала'!R"&amp;K5&amp;"C13",0))</f>
        <v>I3-224/15</v>
      </c>
      <c r="G57" s="192"/>
      <c r="H57" s="192"/>
      <c r="I57" s="192"/>
    </row>
    <row r="58" spans="1:9" ht="9.75" customHeight="1" x14ac:dyDescent="0.25">
      <c r="F58" s="198" t="s">
        <v>48</v>
      </c>
      <c r="G58" s="198"/>
      <c r="H58" s="198"/>
      <c r="I58" s="198"/>
    </row>
    <row r="59" spans="1:9" x14ac:dyDescent="0.25">
      <c r="A59" s="189" t="s">
        <v>52</v>
      </c>
      <c r="B59" s="189"/>
      <c r="C59" s="189"/>
      <c r="D59" s="189"/>
      <c r="E59" s="189"/>
      <c r="F59" s="189"/>
      <c r="G59" s="189"/>
      <c r="H59" s="192" t="s">
        <v>98</v>
      </c>
      <c r="I59" s="192"/>
    </row>
    <row r="60" spans="1:9" x14ac:dyDescent="0.25">
      <c r="H60" s="203" t="s">
        <v>53</v>
      </c>
      <c r="I60" s="203"/>
    </row>
    <row r="61" spans="1:9" x14ac:dyDescent="0.25">
      <c r="A61" s="8" t="s">
        <v>54</v>
      </c>
      <c r="B61" s="192" t="s">
        <v>99</v>
      </c>
      <c r="C61" s="192"/>
      <c r="D61" s="192"/>
      <c r="E61" s="8" t="s">
        <v>55</v>
      </c>
      <c r="F61" s="192" t="s">
        <v>100</v>
      </c>
      <c r="G61" s="192"/>
      <c r="H61" s="192"/>
      <c r="I61" s="192"/>
    </row>
    <row r="62" spans="1:9" x14ac:dyDescent="0.25">
      <c r="B62" s="203" t="s">
        <v>57</v>
      </c>
      <c r="C62" s="203"/>
      <c r="D62" s="203"/>
      <c r="F62" s="198" t="s">
        <v>56</v>
      </c>
      <c r="G62" s="198"/>
      <c r="H62" s="198"/>
      <c r="I62" s="198"/>
    </row>
    <row r="63" spans="1:9" x14ac:dyDescent="0.25">
      <c r="A63" s="189" t="s">
        <v>58</v>
      </c>
      <c r="B63" s="189"/>
      <c r="C63" s="189"/>
      <c r="D63" s="189"/>
      <c r="E63" s="189"/>
      <c r="F63" s="189"/>
      <c r="G63" s="189"/>
      <c r="H63" s="189"/>
      <c r="I63" s="189"/>
    </row>
    <row r="64" spans="1:9" x14ac:dyDescent="0.25">
      <c r="A64" s="172"/>
      <c r="B64" s="172"/>
      <c r="C64" s="172"/>
      <c r="D64" s="172"/>
      <c r="E64" s="172"/>
      <c r="F64" s="172"/>
      <c r="G64" s="172"/>
      <c r="H64" s="172"/>
      <c r="I64" s="172"/>
    </row>
    <row r="65" spans="1:9" ht="11.25" customHeight="1" x14ac:dyDescent="0.25">
      <c r="A65" s="198" t="s">
        <v>59</v>
      </c>
      <c r="B65" s="198"/>
      <c r="C65" s="198"/>
      <c r="D65" s="198"/>
      <c r="E65" s="198"/>
      <c r="F65" s="198"/>
      <c r="G65" s="198"/>
      <c r="H65" s="198"/>
      <c r="I65" s="198"/>
    </row>
    <row r="66" spans="1:9" x14ac:dyDescent="0.25">
      <c r="A66" s="172"/>
      <c r="B66" s="172"/>
      <c r="C66" s="172"/>
      <c r="D66" s="172"/>
      <c r="E66" s="172"/>
      <c r="F66" s="172"/>
      <c r="G66" s="172"/>
      <c r="H66" s="172"/>
      <c r="I66" s="172"/>
    </row>
    <row r="67" spans="1:9" ht="12" customHeight="1" x14ac:dyDescent="0.25">
      <c r="A67" s="198" t="s">
        <v>60</v>
      </c>
      <c r="B67" s="198"/>
      <c r="C67" s="198"/>
      <c r="D67" s="198"/>
      <c r="E67" s="198"/>
      <c r="F67" s="198"/>
      <c r="G67" s="198"/>
      <c r="H67" s="198"/>
      <c r="I67" s="198"/>
    </row>
    <row r="68" spans="1:9" x14ac:dyDescent="0.25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ht="8.25" customHeight="1" x14ac:dyDescent="0.25"/>
    <row r="70" spans="1:9" x14ac:dyDescent="0.25">
      <c r="A70" s="204" t="s">
        <v>61</v>
      </c>
      <c r="B70" s="204"/>
      <c r="C70" s="204"/>
      <c r="D70" s="204"/>
      <c r="E70" s="172"/>
      <c r="F70" s="172"/>
      <c r="G70" s="172"/>
      <c r="H70" s="172"/>
      <c r="I70" s="172"/>
    </row>
    <row r="71" spans="1:9" ht="12.75" customHeight="1" x14ac:dyDescent="0.25">
      <c r="E71" s="198" t="s">
        <v>62</v>
      </c>
      <c r="F71" s="198"/>
      <c r="G71" s="198"/>
      <c r="H71" s="198"/>
      <c r="I71" s="198"/>
    </row>
    <row r="73" spans="1:9" ht="28.5" customHeight="1" x14ac:dyDescent="0.25">
      <c r="A73" s="189" t="s">
        <v>63</v>
      </c>
      <c r="B73" s="189"/>
      <c r="C73" s="174" t="str">
        <f>A18</f>
        <v>Директор по строительству ООО «СЭТ» Потоцкий А.А.</v>
      </c>
      <c r="D73" s="174"/>
      <c r="E73" s="174"/>
      <c r="F73" s="174"/>
      <c r="G73" s="174"/>
      <c r="H73" s="174"/>
      <c r="I73" s="174"/>
    </row>
    <row r="74" spans="1:9" ht="12" customHeight="1" x14ac:dyDescent="0.25">
      <c r="C74" s="198" t="s">
        <v>64</v>
      </c>
      <c r="D74" s="198"/>
      <c r="E74" s="198"/>
      <c r="F74" s="198"/>
      <c r="G74" s="198"/>
      <c r="H74" s="198"/>
      <c r="I74" s="198"/>
    </row>
    <row r="76" spans="1:9" x14ac:dyDescent="0.25">
      <c r="A76" s="189" t="s">
        <v>65</v>
      </c>
      <c r="B76" s="189"/>
      <c r="C76" s="174" t="str">
        <f>B20</f>
        <v>Начальник участка ООО «СЭТ» Нугуманов М.А.</v>
      </c>
      <c r="D76" s="174"/>
      <c r="E76" s="174"/>
      <c r="F76" s="174"/>
      <c r="G76" s="174"/>
      <c r="H76" s="174"/>
      <c r="I76" s="174"/>
    </row>
    <row r="77" spans="1:9" ht="11.25" customHeight="1" x14ac:dyDescent="0.25">
      <c r="C77" s="173" t="s">
        <v>64</v>
      </c>
      <c r="D77" s="173"/>
      <c r="E77" s="173"/>
      <c r="F77" s="173"/>
      <c r="G77" s="173"/>
      <c r="H77" s="173"/>
      <c r="I77" s="173"/>
    </row>
    <row r="78" spans="1:9" ht="28.5" customHeight="1" x14ac:dyDescent="0.25">
      <c r="C78" s="174" t="str">
        <f>B22</f>
        <v>Ведущий инженер строительного контроля ООО «СЭТ» Кольцов А.Г.</v>
      </c>
      <c r="D78" s="174"/>
      <c r="E78" s="174"/>
      <c r="F78" s="174"/>
      <c r="G78" s="174"/>
      <c r="H78" s="174"/>
      <c r="I78" s="174"/>
    </row>
    <row r="79" spans="1:9" ht="12" customHeight="1" x14ac:dyDescent="0.25">
      <c r="C79" s="173" t="s">
        <v>64</v>
      </c>
      <c r="D79" s="173"/>
      <c r="E79" s="173"/>
      <c r="F79" s="173"/>
      <c r="G79" s="173"/>
      <c r="H79" s="173"/>
      <c r="I79" s="173"/>
    </row>
    <row r="80" spans="1:9" x14ac:dyDescent="0.25">
      <c r="C80" s="172"/>
      <c r="D80" s="172"/>
      <c r="E80" s="172"/>
      <c r="F80" s="172"/>
      <c r="G80" s="172"/>
      <c r="H80" s="172"/>
      <c r="I80" s="172"/>
    </row>
    <row r="81" spans="1:9" x14ac:dyDescent="0.25">
      <c r="C81" s="173" t="s">
        <v>64</v>
      </c>
      <c r="D81" s="173"/>
      <c r="E81" s="173"/>
      <c r="F81" s="173"/>
      <c r="G81" s="173"/>
      <c r="H81" s="173"/>
      <c r="I81" s="173"/>
    </row>
    <row r="83" spans="1:9" x14ac:dyDescent="0.25">
      <c r="A83" s="189" t="s">
        <v>66</v>
      </c>
      <c r="B83" s="189"/>
      <c r="C83" s="189"/>
    </row>
    <row r="84" spans="1:9" x14ac:dyDescent="0.25">
      <c r="A84" s="192" t="str">
        <f>CONCATENATE(ПОДПИСИ!B13," ",ПОДПИСИ!C13)</f>
        <v>Ведущий инженер отдела строительного контроля АО "ЛЭСР" Сафуанова В.А.</v>
      </c>
      <c r="B84" s="192"/>
      <c r="C84" s="192"/>
      <c r="D84" s="192"/>
      <c r="E84" s="192"/>
      <c r="F84" s="192"/>
      <c r="G84" s="192"/>
      <c r="H84" s="192"/>
      <c r="I84" s="192"/>
    </row>
    <row r="85" spans="1:9" x14ac:dyDescent="0.25">
      <c r="A85" s="191" t="s">
        <v>64</v>
      </c>
      <c r="B85" s="191"/>
      <c r="C85" s="191"/>
      <c r="D85" s="191"/>
      <c r="E85" s="191"/>
      <c r="F85" s="191"/>
      <c r="G85" s="191"/>
      <c r="H85" s="191"/>
      <c r="I85" s="191"/>
    </row>
    <row r="87" spans="1:9" x14ac:dyDescent="0.25">
      <c r="A87" s="189" t="s">
        <v>67</v>
      </c>
      <c r="B87" s="189"/>
      <c r="C87" s="172"/>
      <c r="D87" s="172"/>
      <c r="E87" s="172"/>
      <c r="F87" s="172"/>
      <c r="G87" s="172"/>
      <c r="H87" s="172"/>
      <c r="I87" s="172"/>
    </row>
    <row r="88" spans="1:9" x14ac:dyDescent="0.25">
      <c r="A88" s="172"/>
      <c r="B88" s="172"/>
      <c r="C88" s="172"/>
      <c r="D88" s="172"/>
      <c r="E88" s="172"/>
      <c r="F88" s="172"/>
      <c r="G88" s="172"/>
      <c r="H88" s="172"/>
      <c r="I88" s="172"/>
    </row>
    <row r="89" spans="1:9" x14ac:dyDescent="0.25">
      <c r="A89" s="205"/>
      <c r="B89" s="205"/>
      <c r="C89" s="205"/>
      <c r="D89" s="205"/>
      <c r="E89" s="205"/>
      <c r="F89" s="205"/>
      <c r="G89" s="205"/>
      <c r="H89" s="205"/>
      <c r="I89" s="205"/>
    </row>
  </sheetData>
  <mergeCells count="102">
    <mergeCell ref="A11:I11"/>
    <mergeCell ref="A12:I12"/>
    <mergeCell ref="A13:B13"/>
    <mergeCell ref="G13:I13"/>
    <mergeCell ref="A14:B14"/>
    <mergeCell ref="C15:E15"/>
    <mergeCell ref="A4:I4"/>
    <mergeCell ref="F5:I6"/>
    <mergeCell ref="F7:I7"/>
    <mergeCell ref="D8:I8"/>
    <mergeCell ref="A9:C9"/>
    <mergeCell ref="D9:I9"/>
    <mergeCell ref="B25:I25"/>
    <mergeCell ref="A27:I27"/>
    <mergeCell ref="A28:I28"/>
    <mergeCell ref="A29:I29"/>
    <mergeCell ref="A30:I30"/>
    <mergeCell ref="A31:I31"/>
    <mergeCell ref="A18:I18"/>
    <mergeCell ref="B20:I20"/>
    <mergeCell ref="B21:I21"/>
    <mergeCell ref="B22:I22"/>
    <mergeCell ref="B23:I23"/>
    <mergeCell ref="B24:I24"/>
    <mergeCell ref="A36:B36"/>
    <mergeCell ref="C36:E36"/>
    <mergeCell ref="G36:I36"/>
    <mergeCell ref="C37:E37"/>
    <mergeCell ref="G37:I37"/>
    <mergeCell ref="A38:B38"/>
    <mergeCell ref="C38:E38"/>
    <mergeCell ref="G38:I38"/>
    <mergeCell ref="A32:I32"/>
    <mergeCell ref="A33:I33"/>
    <mergeCell ref="A34:E34"/>
    <mergeCell ref="G34:I34"/>
    <mergeCell ref="A35:E35"/>
    <mergeCell ref="G35:I35"/>
    <mergeCell ref="I43:I44"/>
    <mergeCell ref="A44:B44"/>
    <mergeCell ref="C44:D44"/>
    <mergeCell ref="A45:B45"/>
    <mergeCell ref="C45:D45"/>
    <mergeCell ref="A48:I48"/>
    <mergeCell ref="C39:E39"/>
    <mergeCell ref="G39:I39"/>
    <mergeCell ref="F40:I40"/>
    <mergeCell ref="F41:I41"/>
    <mergeCell ref="A42:I42"/>
    <mergeCell ref="A43:D43"/>
    <mergeCell ref="E43:E44"/>
    <mergeCell ref="F43:F44"/>
    <mergeCell ref="G43:G44"/>
    <mergeCell ref="H43:H44"/>
    <mergeCell ref="A53:E53"/>
    <mergeCell ref="F53:I53"/>
    <mergeCell ref="F54:I54"/>
    <mergeCell ref="A55:E55"/>
    <mergeCell ref="F55:I55"/>
    <mergeCell ref="F56:I56"/>
    <mergeCell ref="A49:E49"/>
    <mergeCell ref="F49:I49"/>
    <mergeCell ref="F50:I50"/>
    <mergeCell ref="A51:E51"/>
    <mergeCell ref="F51:I51"/>
    <mergeCell ref="F52:I52"/>
    <mergeCell ref="B61:D61"/>
    <mergeCell ref="F61:I61"/>
    <mergeCell ref="B62:D62"/>
    <mergeCell ref="F62:I62"/>
    <mergeCell ref="A63:I63"/>
    <mergeCell ref="A64:I64"/>
    <mergeCell ref="A57:E57"/>
    <mergeCell ref="F57:I57"/>
    <mergeCell ref="F58:I58"/>
    <mergeCell ref="A59:G59"/>
    <mergeCell ref="H59:I59"/>
    <mergeCell ref="H60:I60"/>
    <mergeCell ref="E71:I71"/>
    <mergeCell ref="A73:B73"/>
    <mergeCell ref="C73:I73"/>
    <mergeCell ref="C74:I74"/>
    <mergeCell ref="A76:B76"/>
    <mergeCell ref="C76:I76"/>
    <mergeCell ref="A65:I65"/>
    <mergeCell ref="A66:I66"/>
    <mergeCell ref="A67:I67"/>
    <mergeCell ref="A68:I68"/>
    <mergeCell ref="A70:D70"/>
    <mergeCell ref="E70:I70"/>
    <mergeCell ref="A84:I84"/>
    <mergeCell ref="A85:I85"/>
    <mergeCell ref="A87:B87"/>
    <mergeCell ref="C87:I87"/>
    <mergeCell ref="A88:I88"/>
    <mergeCell ref="A89:I89"/>
    <mergeCell ref="C77:I77"/>
    <mergeCell ref="C78:I78"/>
    <mergeCell ref="C79:I79"/>
    <mergeCell ref="C80:I80"/>
    <mergeCell ref="C81:I81"/>
    <mergeCell ref="A83:C83"/>
  </mergeCells>
  <dataValidations count="5">
    <dataValidation type="list" allowBlank="1" showInputMessage="1" showErrorMessage="1" sqref="F40:I40" xr:uid="{00000000-0002-0000-0800-000000000000}">
      <formula1>"выполнена, не выполнена"</formula1>
    </dataValidation>
    <dataValidation type="list" allowBlank="1" showInputMessage="1" showErrorMessage="1" sqref="F51:I51 F53:I53 F55:I55" xr:uid="{00000000-0002-0000-0800-000001000000}">
      <formula1>"соответствует, не соотвествует"</formula1>
    </dataValidation>
    <dataValidation type="list" allowBlank="1" showInputMessage="1" showErrorMessage="1" sqref="F49:I49" xr:uid="{00000000-0002-0000-0800-000002000000}">
      <formula1>"соответствуют, не соотвествуют"</formula1>
    </dataValidation>
    <dataValidation type="list" allowBlank="1" showInputMessage="1" showErrorMessage="1" sqref="H59:I59" xr:uid="{00000000-0002-0000-0800-000003000000}">
      <formula1>"пригодной, непригодной"</formula1>
    </dataValidation>
    <dataValidation type="list" allowBlank="1" showInputMessage="1" showErrorMessage="1" sqref="B61:D61" xr:uid="{00000000-0002-0000-0800-000004000000}">
      <formula1>"допущена, не допущена"</formula1>
    </dataValidation>
  </dataValidations>
  <pageMargins left="0.25" right="0.25" top="0.75" bottom="0.75" header="0.3" footer="0.3"/>
  <pageSetup paperSize="9" orientation="portrait" r:id="rId1"/>
  <rowBreaks count="1" manualBreakCount="1">
    <brk id="40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K89"/>
  <sheetViews>
    <sheetView tabSelected="1" view="pageBreakPreview" zoomScale="60" zoomScaleNormal="100" workbookViewId="0"/>
  </sheetViews>
  <sheetFormatPr defaultColWidth="9.109375" defaultRowHeight="13.8" x14ac:dyDescent="0.25"/>
  <cols>
    <col min="1" max="1" width="9.109375" style="8"/>
    <col min="2" max="2" width="7.44140625" style="8" customWidth="1"/>
    <col min="3" max="3" width="7.5546875" style="8" customWidth="1"/>
    <col min="4" max="4" width="8.33203125" style="8" customWidth="1"/>
    <col min="5" max="5" width="17.6640625" style="8" customWidth="1"/>
    <col min="6" max="6" width="14.44140625" style="8" customWidth="1"/>
    <col min="7" max="7" width="10.6640625" style="8" customWidth="1"/>
    <col min="8" max="8" width="11.44140625" style="8" customWidth="1"/>
    <col min="9" max="9" width="11.6640625" style="8" customWidth="1"/>
    <col min="10" max="10" width="9.109375" style="8"/>
    <col min="11" max="11" width="11.109375" style="8" customWidth="1"/>
    <col min="12" max="16384" width="9.109375" style="8"/>
  </cols>
  <sheetData>
    <row r="1" spans="1:11" x14ac:dyDescent="0.25">
      <c r="H1" s="8" t="s">
        <v>5</v>
      </c>
    </row>
    <row r="2" spans="1:11" x14ac:dyDescent="0.25">
      <c r="H2" s="8" t="s">
        <v>6</v>
      </c>
    </row>
    <row r="3" spans="1:11" ht="5.25" customHeight="1" x14ac:dyDescent="0.25">
      <c r="K3" s="76"/>
    </row>
    <row r="4" spans="1:11" ht="14.4" thickBot="1" x14ac:dyDescent="0.3">
      <c r="A4" s="180" t="s">
        <v>7</v>
      </c>
      <c r="B4" s="180"/>
      <c r="C4" s="180"/>
      <c r="D4" s="180"/>
      <c r="E4" s="180"/>
      <c r="F4" s="180"/>
      <c r="G4" s="180"/>
      <c r="H4" s="180"/>
      <c r="I4" s="180"/>
      <c r="K4" s="77" t="str">
        <f ca="1">MID(CELL("имяфайла",A1),SEARCH("]",CELL("имяфайла",A1))+1,LEN(CELL("имяфайла",A1)))</f>
        <v>АВК 7</v>
      </c>
    </row>
    <row r="5" spans="1:11" ht="10.5" customHeight="1" x14ac:dyDescent="0.25">
      <c r="F5" s="181" t="s">
        <v>95</v>
      </c>
      <c r="G5" s="182"/>
      <c r="H5" s="182"/>
      <c r="I5" s="183"/>
      <c r="K5" s="78">
        <f ca="1">RIGHT(K4,LEN(K4)-4)+2</f>
        <v>9</v>
      </c>
    </row>
    <row r="6" spans="1:11" ht="14.4" thickBot="1" x14ac:dyDescent="0.3">
      <c r="F6" s="184"/>
      <c r="G6" s="185"/>
      <c r="H6" s="185"/>
      <c r="I6" s="186"/>
      <c r="K6" s="79"/>
    </row>
    <row r="7" spans="1:11" x14ac:dyDescent="0.25">
      <c r="F7" s="187" t="s">
        <v>8</v>
      </c>
      <c r="G7" s="187"/>
      <c r="H7" s="187"/>
      <c r="I7" s="187"/>
    </row>
    <row r="8" spans="1:11" ht="46.8" customHeight="1" x14ac:dyDescent="0.25">
      <c r="A8" s="8" t="s">
        <v>9</v>
      </c>
      <c r="D8" s="188" t="str">
        <f>'Жвх.к (т)'!C17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E8" s="188"/>
      <c r="F8" s="188"/>
      <c r="G8" s="188"/>
      <c r="H8" s="188"/>
      <c r="I8" s="188"/>
    </row>
    <row r="9" spans="1:11" x14ac:dyDescent="0.25">
      <c r="A9" s="189" t="s">
        <v>10</v>
      </c>
      <c r="B9" s="189"/>
      <c r="C9" s="189"/>
      <c r="D9" s="190" t="s">
        <v>96</v>
      </c>
      <c r="E9" s="190"/>
      <c r="F9" s="190"/>
      <c r="G9" s="190"/>
      <c r="H9" s="190"/>
      <c r="I9" s="190"/>
    </row>
    <row r="11" spans="1:11" x14ac:dyDescent="0.25">
      <c r="A11" s="180" t="str">
        <f ca="1">CONCATENATE("АКТ № ",INDIRECT("'Форма журнала'!R"&amp;K5&amp;"C2",0))</f>
        <v>АКТ № 4</v>
      </c>
      <c r="B11" s="180"/>
      <c r="C11" s="180"/>
      <c r="D11" s="180"/>
      <c r="E11" s="180"/>
      <c r="F11" s="180"/>
      <c r="G11" s="180"/>
      <c r="H11" s="180"/>
      <c r="I11" s="180"/>
    </row>
    <row r="12" spans="1:11" x14ac:dyDescent="0.25">
      <c r="A12" s="180" t="s">
        <v>11</v>
      </c>
      <c r="B12" s="180"/>
      <c r="C12" s="180"/>
      <c r="D12" s="180"/>
      <c r="E12" s="180"/>
      <c r="F12" s="180"/>
      <c r="G12" s="180"/>
      <c r="H12" s="180"/>
      <c r="I12" s="180"/>
    </row>
    <row r="13" spans="1:11" x14ac:dyDescent="0.25">
      <c r="A13" s="172"/>
      <c r="B13" s="172"/>
      <c r="G13" s="193">
        <f ca="1">INDIRECT("'Форма журнала'!R"&amp;K5&amp;"C3",0)</f>
        <v>45607</v>
      </c>
      <c r="H13" s="193"/>
      <c r="I13" s="193"/>
    </row>
    <row r="14" spans="1:11" x14ac:dyDescent="0.25">
      <c r="A14" s="191" t="s">
        <v>12</v>
      </c>
      <c r="B14" s="191"/>
    </row>
    <row r="15" spans="1:11" x14ac:dyDescent="0.25">
      <c r="A15" s="8" t="s">
        <v>13</v>
      </c>
      <c r="C15" s="192" t="str">
        <f>'Жвх.к (т)'!B7</f>
        <v>ООО «СЭТ»</v>
      </c>
      <c r="D15" s="192"/>
      <c r="E15" s="192"/>
      <c r="F15" s="41" t="s">
        <v>523</v>
      </c>
      <c r="G15" s="41"/>
      <c r="H15" s="41"/>
      <c r="I15" s="41"/>
    </row>
    <row r="16" spans="1:11" x14ac:dyDescent="0.25">
      <c r="C16" s="19" t="s">
        <v>22</v>
      </c>
    </row>
    <row r="17" spans="1:9" x14ac:dyDescent="0.25">
      <c r="A17" s="8" t="s">
        <v>34</v>
      </c>
      <c r="C17" s="19"/>
    </row>
    <row r="18" spans="1:9" ht="30.75" customHeight="1" x14ac:dyDescent="0.3">
      <c r="A18" s="179" t="str">
        <f>CONCATENATE(ПОДПИСИ!B7," ",ПОДПИСИ!C7)</f>
        <v>Директор по строительству ООО «СЭТ» Потоцкий А.А.</v>
      </c>
      <c r="B18" s="179"/>
      <c r="C18" s="179"/>
      <c r="D18" s="179"/>
      <c r="E18" s="179"/>
      <c r="F18" s="179"/>
      <c r="G18" s="179"/>
      <c r="H18" s="179"/>
      <c r="I18" s="179"/>
    </row>
    <row r="19" spans="1:9" x14ac:dyDescent="0.25">
      <c r="A19" s="8" t="s">
        <v>23</v>
      </c>
    </row>
    <row r="20" spans="1:9" x14ac:dyDescent="0.25">
      <c r="B20" s="174" t="str">
        <f>CONCATENATE(ПОДПИСИ!B9," ",ПОДПИСИ!C9)</f>
        <v>Начальник участка ООО «СЭТ» Нугуманов М.А.</v>
      </c>
      <c r="C20" s="174"/>
      <c r="D20" s="174"/>
      <c r="E20" s="174"/>
      <c r="F20" s="174"/>
      <c r="G20" s="174"/>
      <c r="H20" s="174"/>
      <c r="I20" s="174"/>
    </row>
    <row r="21" spans="1:9" ht="9" customHeight="1" x14ac:dyDescent="0.25">
      <c r="B21" s="173" t="s">
        <v>24</v>
      </c>
      <c r="C21" s="173"/>
      <c r="D21" s="173"/>
      <c r="E21" s="173"/>
      <c r="F21" s="173"/>
      <c r="G21" s="173"/>
      <c r="H21" s="173"/>
      <c r="I21" s="173"/>
    </row>
    <row r="22" spans="1:9" ht="30.75" customHeight="1" x14ac:dyDescent="0.25">
      <c r="B22" s="174" t="str">
        <f>CONCATENATE(ПОДПИСИ!B11," ",ПОДПИСИ!C11)</f>
        <v>Ведущий инженер строительного контроля ООО «СЭТ» Кольцов А.Г.</v>
      </c>
      <c r="C22" s="174"/>
      <c r="D22" s="174"/>
      <c r="E22" s="174"/>
      <c r="F22" s="174"/>
      <c r="G22" s="174"/>
      <c r="H22" s="174"/>
      <c r="I22" s="174"/>
    </row>
    <row r="23" spans="1:9" ht="11.25" customHeight="1" x14ac:dyDescent="0.25">
      <c r="B23" s="173" t="s">
        <v>24</v>
      </c>
      <c r="C23" s="173"/>
      <c r="D23" s="173"/>
      <c r="E23" s="173"/>
      <c r="F23" s="173"/>
      <c r="G23" s="173"/>
      <c r="H23" s="173"/>
      <c r="I23" s="173"/>
    </row>
    <row r="24" spans="1:9" x14ac:dyDescent="0.25">
      <c r="B24" s="172"/>
      <c r="C24" s="172"/>
      <c r="D24" s="172"/>
      <c r="E24" s="172"/>
      <c r="F24" s="172"/>
      <c r="G24" s="172"/>
      <c r="H24" s="172"/>
      <c r="I24" s="172"/>
    </row>
    <row r="25" spans="1:9" ht="10.5" customHeight="1" x14ac:dyDescent="0.25">
      <c r="B25" s="173" t="s">
        <v>24</v>
      </c>
      <c r="C25" s="173"/>
      <c r="D25" s="173"/>
      <c r="E25" s="173"/>
      <c r="F25" s="173"/>
      <c r="G25" s="173"/>
      <c r="H25" s="173"/>
      <c r="I25" s="173"/>
    </row>
    <row r="26" spans="1:9" x14ac:dyDescent="0.25">
      <c r="A26" s="8" t="s">
        <v>25</v>
      </c>
    </row>
    <row r="27" spans="1:9" ht="44.25" customHeight="1" x14ac:dyDescent="0.25">
      <c r="A27" s="174" t="s">
        <v>102</v>
      </c>
      <c r="B27" s="174"/>
      <c r="C27" s="174"/>
      <c r="D27" s="174"/>
      <c r="E27" s="174"/>
      <c r="F27" s="174"/>
      <c r="G27" s="174"/>
      <c r="H27" s="174"/>
      <c r="I27" s="174"/>
    </row>
    <row r="28" spans="1:9" x14ac:dyDescent="0.25">
      <c r="A28" s="175" t="s">
        <v>26</v>
      </c>
      <c r="B28" s="175"/>
      <c r="C28" s="175"/>
      <c r="D28" s="175"/>
      <c r="E28" s="175"/>
      <c r="F28" s="175"/>
      <c r="G28" s="175"/>
      <c r="H28" s="175"/>
      <c r="I28" s="175"/>
    </row>
    <row r="29" spans="1:9" x14ac:dyDescent="0.25">
      <c r="A29" s="176" t="s">
        <v>27</v>
      </c>
      <c r="B29" s="176"/>
      <c r="C29" s="176"/>
      <c r="D29" s="176"/>
      <c r="E29" s="176"/>
      <c r="F29" s="176"/>
      <c r="G29" s="176"/>
      <c r="H29" s="176"/>
      <c r="I29" s="176"/>
    </row>
    <row r="30" spans="1:9" x14ac:dyDescent="0.25">
      <c r="A30" s="177" t="s">
        <v>28</v>
      </c>
      <c r="B30" s="177"/>
      <c r="C30" s="177"/>
      <c r="D30" s="177"/>
      <c r="E30" s="177"/>
      <c r="F30" s="177"/>
      <c r="G30" s="177"/>
      <c r="H30" s="177"/>
      <c r="I30" s="177"/>
    </row>
    <row r="31" spans="1:9" x14ac:dyDescent="0.25">
      <c r="A31" s="174" t="str">
        <f ca="1">INDIRECT("'Форма журнала'!R"&amp;K5&amp;"C4",0)</f>
        <v>Провод линии СИП-3 1х120</v>
      </c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5" t="s">
        <v>29</v>
      </c>
      <c r="B32" s="175"/>
      <c r="C32" s="175"/>
      <c r="D32" s="175"/>
      <c r="E32" s="175"/>
      <c r="F32" s="175"/>
      <c r="G32" s="175"/>
      <c r="H32" s="175"/>
      <c r="I32" s="175"/>
    </row>
    <row r="33" spans="1:11" x14ac:dyDescent="0.25">
      <c r="A33" s="178" t="s">
        <v>30</v>
      </c>
      <c r="B33" s="178"/>
      <c r="C33" s="178"/>
      <c r="D33" s="178"/>
      <c r="E33" s="178"/>
      <c r="F33" s="178"/>
      <c r="G33" s="178"/>
      <c r="H33" s="178"/>
      <c r="I33" s="178"/>
    </row>
    <row r="34" spans="1:11" ht="31.2" customHeight="1" x14ac:dyDescent="0.25">
      <c r="A34" s="194" t="str">
        <f ca="1">INDIRECT("'Форма журнала'!R"&amp;K5&amp;"C7",0)</f>
        <v>Паспорт качества №№24Т1-5845 от 21.07.2024 г.; Паспорт качества №№24Т1-5844 от 21.07.2024 г.; Паспорт качества №№24Т1-5847 от 21.07.2024 г; Паспорт качества №№24Т1-5851 от 21.07.2024 г.</v>
      </c>
      <c r="B34" s="194"/>
      <c r="C34" s="194"/>
      <c r="D34" s="194"/>
      <c r="E34" s="194"/>
      <c r="F34" s="20" t="s">
        <v>31</v>
      </c>
      <c r="G34" s="195"/>
      <c r="H34" s="195"/>
      <c r="I34" s="195"/>
    </row>
    <row r="35" spans="1:11" x14ac:dyDescent="0.25">
      <c r="A35" s="175" t="s">
        <v>33</v>
      </c>
      <c r="B35" s="175"/>
      <c r="C35" s="175"/>
      <c r="D35" s="175"/>
      <c r="E35" s="175"/>
      <c r="F35" s="21"/>
      <c r="G35" s="175" t="s">
        <v>32</v>
      </c>
      <c r="H35" s="175"/>
      <c r="I35" s="175"/>
    </row>
    <row r="36" spans="1:11" x14ac:dyDescent="0.25">
      <c r="A36" s="177" t="s">
        <v>104</v>
      </c>
      <c r="B36" s="177"/>
      <c r="C36" s="192" t="str">
        <f ca="1">INDIRECT("'Форма журнала'!R"&amp;K5&amp;"C5",0)</f>
        <v>18387 м</v>
      </c>
      <c r="D36" s="192"/>
      <c r="E36" s="192"/>
      <c r="F36" s="26" t="s">
        <v>68</v>
      </c>
      <c r="G36" s="196"/>
      <c r="H36" s="196"/>
      <c r="I36" s="196"/>
    </row>
    <row r="37" spans="1:11" x14ac:dyDescent="0.25">
      <c r="A37" s="21"/>
      <c r="B37" s="21"/>
      <c r="C37" s="175" t="s">
        <v>35</v>
      </c>
      <c r="D37" s="175"/>
      <c r="E37" s="175"/>
      <c r="F37" s="21"/>
      <c r="G37" s="191" t="s">
        <v>36</v>
      </c>
      <c r="H37" s="191"/>
      <c r="I37" s="191"/>
    </row>
    <row r="38" spans="1:11" x14ac:dyDescent="0.25">
      <c r="A38" s="177" t="s">
        <v>37</v>
      </c>
      <c r="B38" s="177"/>
      <c r="C38" s="174" t="str">
        <f ca="1">INDIRECT("'Форма журнала'!R"&amp;K5&amp;"C6",0)</f>
        <v>ООО "КЗ "ЦВЕТЛИТ"</v>
      </c>
      <c r="D38" s="174"/>
      <c r="E38" s="174"/>
      <c r="F38" s="20" t="s">
        <v>38</v>
      </c>
      <c r="G38" s="195"/>
      <c r="H38" s="195"/>
      <c r="I38" s="195"/>
      <c r="K38" s="28"/>
    </row>
    <row r="39" spans="1:11" x14ac:dyDescent="0.25">
      <c r="A39" s="22"/>
      <c r="B39" s="22"/>
      <c r="C39" s="175" t="s">
        <v>39</v>
      </c>
      <c r="D39" s="175"/>
      <c r="E39" s="175"/>
      <c r="F39" s="20"/>
      <c r="G39" s="191" t="s">
        <v>40</v>
      </c>
      <c r="H39" s="191"/>
      <c r="I39" s="191"/>
    </row>
    <row r="40" spans="1:11" x14ac:dyDescent="0.25">
      <c r="A40" s="22" t="s">
        <v>41</v>
      </c>
      <c r="B40" s="22"/>
      <c r="C40" s="21"/>
      <c r="D40" s="21"/>
      <c r="E40" s="21"/>
      <c r="F40" s="197" t="s">
        <v>101</v>
      </c>
      <c r="G40" s="197"/>
      <c r="H40" s="197"/>
      <c r="I40" s="197"/>
    </row>
    <row r="41" spans="1:11" x14ac:dyDescent="0.25">
      <c r="F41" s="198" t="s">
        <v>42</v>
      </c>
      <c r="G41" s="198"/>
      <c r="H41" s="198"/>
      <c r="I41" s="198"/>
    </row>
    <row r="42" spans="1:11" x14ac:dyDescent="0.25">
      <c r="A42" s="199" t="s">
        <v>43</v>
      </c>
      <c r="B42" s="199"/>
      <c r="C42" s="199"/>
      <c r="D42" s="199"/>
      <c r="E42" s="199"/>
      <c r="F42" s="199"/>
      <c r="G42" s="199"/>
      <c r="H42" s="199"/>
      <c r="I42" s="199"/>
    </row>
    <row r="43" spans="1:11" ht="30" customHeight="1" x14ac:dyDescent="0.25">
      <c r="A43" s="202" t="s">
        <v>14</v>
      </c>
      <c r="B43" s="202"/>
      <c r="C43" s="202"/>
      <c r="D43" s="202"/>
      <c r="E43" s="202" t="s">
        <v>17</v>
      </c>
      <c r="F43" s="202" t="s">
        <v>18</v>
      </c>
      <c r="G43" s="202" t="s">
        <v>19</v>
      </c>
      <c r="H43" s="202" t="s">
        <v>20</v>
      </c>
      <c r="I43" s="202" t="s">
        <v>21</v>
      </c>
    </row>
    <row r="44" spans="1:11" ht="32.25" customHeight="1" x14ac:dyDescent="0.25">
      <c r="A44" s="202" t="s">
        <v>15</v>
      </c>
      <c r="B44" s="202"/>
      <c r="C44" s="202" t="s">
        <v>16</v>
      </c>
      <c r="D44" s="202"/>
      <c r="E44" s="202"/>
      <c r="F44" s="202"/>
      <c r="G44" s="202"/>
      <c r="H44" s="202"/>
      <c r="I44" s="202"/>
    </row>
    <row r="45" spans="1:11" x14ac:dyDescent="0.25">
      <c r="A45" s="201">
        <v>1</v>
      </c>
      <c r="B45" s="201"/>
      <c r="C45" s="201">
        <v>2</v>
      </c>
      <c r="D45" s="201"/>
      <c r="E45" s="23">
        <v>3</v>
      </c>
      <c r="F45" s="23">
        <v>4</v>
      </c>
      <c r="G45" s="23">
        <v>5</v>
      </c>
      <c r="H45" s="23">
        <v>6</v>
      </c>
      <c r="I45" s="23">
        <v>7</v>
      </c>
    </row>
    <row r="46" spans="1:11" x14ac:dyDescent="0.25">
      <c r="A46" s="24" t="str">
        <f ca="1">C36</f>
        <v>18387 м</v>
      </c>
      <c r="B46" s="24"/>
      <c r="C46" s="24"/>
      <c r="D46" s="24"/>
      <c r="E46" s="24"/>
      <c r="F46" s="24"/>
      <c r="G46" s="24"/>
      <c r="H46" s="24"/>
      <c r="I46" s="24" t="s">
        <v>127</v>
      </c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00" t="s">
        <v>44</v>
      </c>
      <c r="B48" s="200"/>
      <c r="C48" s="200"/>
      <c r="D48" s="200"/>
      <c r="E48" s="200"/>
      <c r="F48" s="200"/>
      <c r="G48" s="200"/>
      <c r="H48" s="200"/>
      <c r="I48" s="200"/>
    </row>
    <row r="49" spans="1:9" x14ac:dyDescent="0.25">
      <c r="A49" s="189" t="s">
        <v>45</v>
      </c>
      <c r="B49" s="189"/>
      <c r="C49" s="189"/>
      <c r="D49" s="189"/>
      <c r="E49" s="189"/>
      <c r="F49" s="192" t="s">
        <v>97</v>
      </c>
      <c r="G49" s="192"/>
      <c r="H49" s="192"/>
      <c r="I49" s="192"/>
    </row>
    <row r="50" spans="1:9" ht="10.5" customHeight="1" x14ac:dyDescent="0.25">
      <c r="A50" s="25"/>
      <c r="B50" s="25"/>
      <c r="C50" s="25"/>
      <c r="D50" s="25"/>
      <c r="E50" s="25"/>
      <c r="F50" s="198" t="s">
        <v>47</v>
      </c>
      <c r="G50" s="198"/>
      <c r="H50" s="198"/>
      <c r="I50" s="198"/>
    </row>
    <row r="51" spans="1:9" ht="15" customHeight="1" x14ac:dyDescent="0.25">
      <c r="A51" s="189" t="s">
        <v>46</v>
      </c>
      <c r="B51" s="189"/>
      <c r="C51" s="189"/>
      <c r="D51" s="189"/>
      <c r="E51" s="189"/>
      <c r="F51" s="192" t="s">
        <v>95</v>
      </c>
      <c r="G51" s="192"/>
      <c r="H51" s="192"/>
      <c r="I51" s="192"/>
    </row>
    <row r="52" spans="1:9" ht="12.75" customHeight="1" x14ac:dyDescent="0.25">
      <c r="F52" s="198" t="s">
        <v>48</v>
      </c>
      <c r="G52" s="198"/>
      <c r="H52" s="198"/>
      <c r="I52" s="198"/>
    </row>
    <row r="53" spans="1:9" x14ac:dyDescent="0.25">
      <c r="A53" s="189" t="s">
        <v>49</v>
      </c>
      <c r="B53" s="189"/>
      <c r="C53" s="189"/>
      <c r="D53" s="189"/>
      <c r="E53" s="189"/>
      <c r="F53" s="192" t="s">
        <v>95</v>
      </c>
      <c r="G53" s="192"/>
      <c r="H53" s="192"/>
      <c r="I53" s="192"/>
    </row>
    <row r="54" spans="1:9" ht="11.25" customHeight="1" x14ac:dyDescent="0.25">
      <c r="F54" s="198" t="s">
        <v>48</v>
      </c>
      <c r="G54" s="198"/>
      <c r="H54" s="198"/>
      <c r="I54" s="198"/>
    </row>
    <row r="55" spans="1:9" x14ac:dyDescent="0.25">
      <c r="A55" s="189" t="s">
        <v>50</v>
      </c>
      <c r="B55" s="189"/>
      <c r="C55" s="189"/>
      <c r="D55" s="189"/>
      <c r="E55" s="189"/>
      <c r="F55" s="192" t="s">
        <v>95</v>
      </c>
      <c r="G55" s="192"/>
      <c r="H55" s="192"/>
      <c r="I55" s="192"/>
    </row>
    <row r="56" spans="1:9" ht="10.5" customHeight="1" x14ac:dyDescent="0.25">
      <c r="F56" s="198" t="s">
        <v>48</v>
      </c>
      <c r="G56" s="198"/>
      <c r="H56" s="198"/>
      <c r="I56" s="198"/>
    </row>
    <row r="57" spans="1:9" ht="15" customHeight="1" x14ac:dyDescent="0.25">
      <c r="A57" s="189" t="s">
        <v>51</v>
      </c>
      <c r="B57" s="189"/>
      <c r="C57" s="189"/>
      <c r="D57" s="189"/>
      <c r="E57" s="189"/>
      <c r="F57" s="192" t="str">
        <f ca="1">IF(OR(INDIRECT("'Форма журнала'!R"&amp;K5&amp;"C13",0)="",INDIRECT("'Форма журнала'!R"&amp;K5&amp;"C13",0)=0),"отсутствует",INDIRECT("'Форма журнала'!R"&amp;K5&amp;"C13",0))</f>
        <v>IЗ-206/20</v>
      </c>
      <c r="G57" s="192"/>
      <c r="H57" s="192"/>
      <c r="I57" s="192"/>
    </row>
    <row r="58" spans="1:9" ht="9.75" customHeight="1" x14ac:dyDescent="0.25">
      <c r="F58" s="198" t="s">
        <v>48</v>
      </c>
      <c r="G58" s="198"/>
      <c r="H58" s="198"/>
      <c r="I58" s="198"/>
    </row>
    <row r="59" spans="1:9" x14ac:dyDescent="0.25">
      <c r="A59" s="189" t="s">
        <v>52</v>
      </c>
      <c r="B59" s="189"/>
      <c r="C59" s="189"/>
      <c r="D59" s="189"/>
      <c r="E59" s="189"/>
      <c r="F59" s="189"/>
      <c r="G59" s="189"/>
      <c r="H59" s="192" t="s">
        <v>98</v>
      </c>
      <c r="I59" s="192"/>
    </row>
    <row r="60" spans="1:9" x14ac:dyDescent="0.25">
      <c r="H60" s="203" t="s">
        <v>53</v>
      </c>
      <c r="I60" s="203"/>
    </row>
    <row r="61" spans="1:9" x14ac:dyDescent="0.25">
      <c r="A61" s="8" t="s">
        <v>54</v>
      </c>
      <c r="B61" s="192" t="s">
        <v>99</v>
      </c>
      <c r="C61" s="192"/>
      <c r="D61" s="192"/>
      <c r="E61" s="8" t="s">
        <v>55</v>
      </c>
      <c r="F61" s="192" t="s">
        <v>100</v>
      </c>
      <c r="G61" s="192"/>
      <c r="H61" s="192"/>
      <c r="I61" s="192"/>
    </row>
    <row r="62" spans="1:9" x14ac:dyDescent="0.25">
      <c r="B62" s="203" t="s">
        <v>57</v>
      </c>
      <c r="C62" s="203"/>
      <c r="D62" s="203"/>
      <c r="F62" s="198" t="s">
        <v>56</v>
      </c>
      <c r="G62" s="198"/>
      <c r="H62" s="198"/>
      <c r="I62" s="198"/>
    </row>
    <row r="63" spans="1:9" x14ac:dyDescent="0.25">
      <c r="A63" s="189" t="s">
        <v>58</v>
      </c>
      <c r="B63" s="189"/>
      <c r="C63" s="189"/>
      <c r="D63" s="189"/>
      <c r="E63" s="189"/>
      <c r="F63" s="189"/>
      <c r="G63" s="189"/>
      <c r="H63" s="189"/>
      <c r="I63" s="189"/>
    </row>
    <row r="64" spans="1:9" x14ac:dyDescent="0.25">
      <c r="A64" s="172"/>
      <c r="B64" s="172"/>
      <c r="C64" s="172"/>
      <c r="D64" s="172"/>
      <c r="E64" s="172"/>
      <c r="F64" s="172"/>
      <c r="G64" s="172"/>
      <c r="H64" s="172"/>
      <c r="I64" s="172"/>
    </row>
    <row r="65" spans="1:9" ht="11.25" customHeight="1" x14ac:dyDescent="0.25">
      <c r="A65" s="198" t="s">
        <v>59</v>
      </c>
      <c r="B65" s="198"/>
      <c r="C65" s="198"/>
      <c r="D65" s="198"/>
      <c r="E65" s="198"/>
      <c r="F65" s="198"/>
      <c r="G65" s="198"/>
      <c r="H65" s="198"/>
      <c r="I65" s="198"/>
    </row>
    <row r="66" spans="1:9" x14ac:dyDescent="0.25">
      <c r="A66" s="172"/>
      <c r="B66" s="172"/>
      <c r="C66" s="172"/>
      <c r="D66" s="172"/>
      <c r="E66" s="172"/>
      <c r="F66" s="172"/>
      <c r="G66" s="172"/>
      <c r="H66" s="172"/>
      <c r="I66" s="172"/>
    </row>
    <row r="67" spans="1:9" ht="12" customHeight="1" x14ac:dyDescent="0.25">
      <c r="A67" s="198" t="s">
        <v>60</v>
      </c>
      <c r="B67" s="198"/>
      <c r="C67" s="198"/>
      <c r="D67" s="198"/>
      <c r="E67" s="198"/>
      <c r="F67" s="198"/>
      <c r="G67" s="198"/>
      <c r="H67" s="198"/>
      <c r="I67" s="198"/>
    </row>
    <row r="68" spans="1:9" x14ac:dyDescent="0.25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ht="8.25" customHeight="1" x14ac:dyDescent="0.25"/>
    <row r="70" spans="1:9" x14ac:dyDescent="0.25">
      <c r="A70" s="204" t="s">
        <v>61</v>
      </c>
      <c r="B70" s="204"/>
      <c r="C70" s="204"/>
      <c r="D70" s="204"/>
      <c r="E70" s="172"/>
      <c r="F70" s="172"/>
      <c r="G70" s="172"/>
      <c r="H70" s="172"/>
      <c r="I70" s="172"/>
    </row>
    <row r="71" spans="1:9" ht="12.75" customHeight="1" x14ac:dyDescent="0.25">
      <c r="E71" s="198" t="s">
        <v>62</v>
      </c>
      <c r="F71" s="198"/>
      <c r="G71" s="198"/>
      <c r="H71" s="198"/>
      <c r="I71" s="198"/>
    </row>
    <row r="73" spans="1:9" ht="28.5" customHeight="1" x14ac:dyDescent="0.25">
      <c r="A73" s="189" t="s">
        <v>63</v>
      </c>
      <c r="B73" s="189"/>
      <c r="C73" s="174" t="str">
        <f>A18</f>
        <v>Директор по строительству ООО «СЭТ» Потоцкий А.А.</v>
      </c>
      <c r="D73" s="174"/>
      <c r="E73" s="174"/>
      <c r="F73" s="174"/>
      <c r="G73" s="174"/>
      <c r="H73" s="174"/>
      <c r="I73" s="174"/>
    </row>
    <row r="74" spans="1:9" ht="12" customHeight="1" x14ac:dyDescent="0.25">
      <c r="C74" s="198" t="s">
        <v>64</v>
      </c>
      <c r="D74" s="198"/>
      <c r="E74" s="198"/>
      <c r="F74" s="198"/>
      <c r="G74" s="198"/>
      <c r="H74" s="198"/>
      <c r="I74" s="198"/>
    </row>
    <row r="76" spans="1:9" x14ac:dyDescent="0.25">
      <c r="A76" s="189" t="s">
        <v>65</v>
      </c>
      <c r="B76" s="189"/>
      <c r="C76" s="174" t="str">
        <f>B20</f>
        <v>Начальник участка ООО «СЭТ» Нугуманов М.А.</v>
      </c>
      <c r="D76" s="174"/>
      <c r="E76" s="174"/>
      <c r="F76" s="174"/>
      <c r="G76" s="174"/>
      <c r="H76" s="174"/>
      <c r="I76" s="174"/>
    </row>
    <row r="77" spans="1:9" ht="11.25" customHeight="1" x14ac:dyDescent="0.25">
      <c r="C77" s="173" t="s">
        <v>64</v>
      </c>
      <c r="D77" s="173"/>
      <c r="E77" s="173"/>
      <c r="F77" s="173"/>
      <c r="G77" s="173"/>
      <c r="H77" s="173"/>
      <c r="I77" s="173"/>
    </row>
    <row r="78" spans="1:9" ht="28.5" customHeight="1" x14ac:dyDescent="0.25">
      <c r="C78" s="174" t="str">
        <f>B22</f>
        <v>Ведущий инженер строительного контроля ООО «СЭТ» Кольцов А.Г.</v>
      </c>
      <c r="D78" s="174"/>
      <c r="E78" s="174"/>
      <c r="F78" s="174"/>
      <c r="G78" s="174"/>
      <c r="H78" s="174"/>
      <c r="I78" s="174"/>
    </row>
    <row r="79" spans="1:9" ht="12" customHeight="1" x14ac:dyDescent="0.25">
      <c r="C79" s="173" t="s">
        <v>64</v>
      </c>
      <c r="D79" s="173"/>
      <c r="E79" s="173"/>
      <c r="F79" s="173"/>
      <c r="G79" s="173"/>
      <c r="H79" s="173"/>
      <c r="I79" s="173"/>
    </row>
    <row r="80" spans="1:9" x14ac:dyDescent="0.25">
      <c r="C80" s="172"/>
      <c r="D80" s="172"/>
      <c r="E80" s="172"/>
      <c r="F80" s="172"/>
      <c r="G80" s="172"/>
      <c r="H80" s="172"/>
      <c r="I80" s="172"/>
    </row>
    <row r="81" spans="1:9" x14ac:dyDescent="0.25">
      <c r="C81" s="173" t="s">
        <v>64</v>
      </c>
      <c r="D81" s="173"/>
      <c r="E81" s="173"/>
      <c r="F81" s="173"/>
      <c r="G81" s="173"/>
      <c r="H81" s="173"/>
      <c r="I81" s="173"/>
    </row>
    <row r="83" spans="1:9" x14ac:dyDescent="0.25">
      <c r="A83" s="189" t="s">
        <v>66</v>
      </c>
      <c r="B83" s="189"/>
      <c r="C83" s="189"/>
    </row>
    <row r="84" spans="1:9" x14ac:dyDescent="0.25">
      <c r="A84" s="192" t="str">
        <f>CONCATENATE(ПОДПИСИ!B13," ",ПОДПИСИ!C13)</f>
        <v>Ведущий инженер отдела строительного контроля АО "ЛЭСР" Сафуанова В.А.</v>
      </c>
      <c r="B84" s="192"/>
      <c r="C84" s="192"/>
      <c r="D84" s="192"/>
      <c r="E84" s="192"/>
      <c r="F84" s="192"/>
      <c r="G84" s="192"/>
      <c r="H84" s="192"/>
      <c r="I84" s="192"/>
    </row>
    <row r="85" spans="1:9" x14ac:dyDescent="0.25">
      <c r="A85" s="191" t="s">
        <v>64</v>
      </c>
      <c r="B85" s="191"/>
      <c r="C85" s="191"/>
      <c r="D85" s="191"/>
      <c r="E85" s="191"/>
      <c r="F85" s="191"/>
      <c r="G85" s="191"/>
      <c r="H85" s="191"/>
      <c r="I85" s="191"/>
    </row>
    <row r="87" spans="1:9" x14ac:dyDescent="0.25">
      <c r="A87" s="189" t="s">
        <v>67</v>
      </c>
      <c r="B87" s="189"/>
      <c r="C87" s="172"/>
      <c r="D87" s="172"/>
      <c r="E87" s="172"/>
      <c r="F87" s="172"/>
      <c r="G87" s="172"/>
      <c r="H87" s="172"/>
      <c r="I87" s="172"/>
    </row>
    <row r="88" spans="1:9" x14ac:dyDescent="0.25">
      <c r="A88" s="172"/>
      <c r="B88" s="172"/>
      <c r="C88" s="172"/>
      <c r="D88" s="172"/>
      <c r="E88" s="172"/>
      <c r="F88" s="172"/>
      <c r="G88" s="172"/>
      <c r="H88" s="172"/>
      <c r="I88" s="172"/>
    </row>
    <row r="89" spans="1:9" x14ac:dyDescent="0.25">
      <c r="A89" s="205"/>
      <c r="B89" s="205"/>
      <c r="C89" s="205"/>
      <c r="D89" s="205"/>
      <c r="E89" s="205"/>
      <c r="F89" s="205"/>
      <c r="G89" s="205"/>
      <c r="H89" s="205"/>
      <c r="I89" s="205"/>
    </row>
  </sheetData>
  <mergeCells count="102">
    <mergeCell ref="A11:I11"/>
    <mergeCell ref="A12:I12"/>
    <mergeCell ref="A13:B13"/>
    <mergeCell ref="G13:I13"/>
    <mergeCell ref="A14:B14"/>
    <mergeCell ref="C15:E15"/>
    <mergeCell ref="A4:I4"/>
    <mergeCell ref="F5:I6"/>
    <mergeCell ref="F7:I7"/>
    <mergeCell ref="D8:I8"/>
    <mergeCell ref="A9:C9"/>
    <mergeCell ref="D9:I9"/>
    <mergeCell ref="B25:I25"/>
    <mergeCell ref="A27:I27"/>
    <mergeCell ref="A28:I28"/>
    <mergeCell ref="A29:I29"/>
    <mergeCell ref="A30:I30"/>
    <mergeCell ref="A31:I31"/>
    <mergeCell ref="A18:I18"/>
    <mergeCell ref="B20:I20"/>
    <mergeCell ref="B21:I21"/>
    <mergeCell ref="B22:I22"/>
    <mergeCell ref="B23:I23"/>
    <mergeCell ref="B24:I24"/>
    <mergeCell ref="A36:B36"/>
    <mergeCell ref="C36:E36"/>
    <mergeCell ref="G36:I36"/>
    <mergeCell ref="C37:E37"/>
    <mergeCell ref="G37:I37"/>
    <mergeCell ref="A38:B38"/>
    <mergeCell ref="C38:E38"/>
    <mergeCell ref="G38:I38"/>
    <mergeCell ref="A32:I32"/>
    <mergeCell ref="A33:I33"/>
    <mergeCell ref="A34:E34"/>
    <mergeCell ref="G34:I34"/>
    <mergeCell ref="A35:E35"/>
    <mergeCell ref="G35:I35"/>
    <mergeCell ref="I43:I44"/>
    <mergeCell ref="A44:B44"/>
    <mergeCell ref="C44:D44"/>
    <mergeCell ref="A45:B45"/>
    <mergeCell ref="C45:D45"/>
    <mergeCell ref="A48:I48"/>
    <mergeCell ref="C39:E39"/>
    <mergeCell ref="G39:I39"/>
    <mergeCell ref="F40:I40"/>
    <mergeCell ref="F41:I41"/>
    <mergeCell ref="A42:I42"/>
    <mergeCell ref="A43:D43"/>
    <mergeCell ref="E43:E44"/>
    <mergeCell ref="F43:F44"/>
    <mergeCell ref="G43:G44"/>
    <mergeCell ref="H43:H44"/>
    <mergeCell ref="A53:E53"/>
    <mergeCell ref="F53:I53"/>
    <mergeCell ref="F54:I54"/>
    <mergeCell ref="A55:E55"/>
    <mergeCell ref="F55:I55"/>
    <mergeCell ref="F56:I56"/>
    <mergeCell ref="A49:E49"/>
    <mergeCell ref="F49:I49"/>
    <mergeCell ref="F50:I50"/>
    <mergeCell ref="A51:E51"/>
    <mergeCell ref="F51:I51"/>
    <mergeCell ref="F52:I52"/>
    <mergeCell ref="B61:D61"/>
    <mergeCell ref="F61:I61"/>
    <mergeCell ref="B62:D62"/>
    <mergeCell ref="F62:I62"/>
    <mergeCell ref="A63:I63"/>
    <mergeCell ref="A64:I64"/>
    <mergeCell ref="A57:E57"/>
    <mergeCell ref="F57:I57"/>
    <mergeCell ref="F58:I58"/>
    <mergeCell ref="A59:G59"/>
    <mergeCell ref="H59:I59"/>
    <mergeCell ref="H60:I60"/>
    <mergeCell ref="E71:I71"/>
    <mergeCell ref="A73:B73"/>
    <mergeCell ref="C73:I73"/>
    <mergeCell ref="C74:I74"/>
    <mergeCell ref="A76:B76"/>
    <mergeCell ref="C76:I76"/>
    <mergeCell ref="A65:I65"/>
    <mergeCell ref="A66:I66"/>
    <mergeCell ref="A67:I67"/>
    <mergeCell ref="A68:I68"/>
    <mergeCell ref="A70:D70"/>
    <mergeCell ref="E70:I70"/>
    <mergeCell ref="A84:I84"/>
    <mergeCell ref="A85:I85"/>
    <mergeCell ref="A87:B87"/>
    <mergeCell ref="C87:I87"/>
    <mergeCell ref="A88:I88"/>
    <mergeCell ref="A89:I89"/>
    <mergeCell ref="C77:I77"/>
    <mergeCell ref="C78:I78"/>
    <mergeCell ref="C79:I79"/>
    <mergeCell ref="C80:I80"/>
    <mergeCell ref="C81:I81"/>
    <mergeCell ref="A83:C83"/>
  </mergeCells>
  <dataValidations disablePrompts="1" count="5">
    <dataValidation type="list" allowBlank="1" showInputMessage="1" showErrorMessage="1" sqref="B61:D61" xr:uid="{00000000-0002-0000-0900-000000000000}">
      <formula1>"допущена, не допущена"</formula1>
    </dataValidation>
    <dataValidation type="list" allowBlank="1" showInputMessage="1" showErrorMessage="1" sqref="H59:I59" xr:uid="{00000000-0002-0000-0900-000001000000}">
      <formula1>"пригодной, непригодной"</formula1>
    </dataValidation>
    <dataValidation type="list" allowBlank="1" showInputMessage="1" showErrorMessage="1" sqref="F49:I49" xr:uid="{00000000-0002-0000-0900-000002000000}">
      <formula1>"соответствуют, не соотвествуют"</formula1>
    </dataValidation>
    <dataValidation type="list" allowBlank="1" showInputMessage="1" showErrorMessage="1" sqref="F51:I51 F53:I53 F55:I55" xr:uid="{00000000-0002-0000-0900-000003000000}">
      <formula1>"соответствует, не соотвествует"</formula1>
    </dataValidation>
    <dataValidation type="list" allowBlank="1" showInputMessage="1" showErrorMessage="1" sqref="F40:I40" xr:uid="{00000000-0002-0000-0900-000004000000}">
      <formula1>"выполнена, не выполнена"</formula1>
    </dataValidation>
  </dataValidations>
  <pageMargins left="0.25" right="0.25" top="0.75" bottom="0.75" header="0.3" footer="0.3"/>
  <pageSetup paperSize="9" orientation="portrait" r:id="rId1"/>
  <rowBreaks count="1" manualBreakCount="1">
    <brk id="40" max="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K89"/>
  <sheetViews>
    <sheetView tabSelected="1" view="pageBreakPreview" zoomScale="60" zoomScaleNormal="100" workbookViewId="0"/>
  </sheetViews>
  <sheetFormatPr defaultColWidth="9.109375" defaultRowHeight="13.8" x14ac:dyDescent="0.25"/>
  <cols>
    <col min="1" max="1" width="9.109375" style="8"/>
    <col min="2" max="2" width="7.44140625" style="8" customWidth="1"/>
    <col min="3" max="3" width="7.5546875" style="8" customWidth="1"/>
    <col min="4" max="4" width="8.33203125" style="8" customWidth="1"/>
    <col min="5" max="5" width="17.6640625" style="8" customWidth="1"/>
    <col min="6" max="6" width="14.44140625" style="8" customWidth="1"/>
    <col min="7" max="7" width="10.6640625" style="8" customWidth="1"/>
    <col min="8" max="8" width="11.44140625" style="8" customWidth="1"/>
    <col min="9" max="9" width="11.6640625" style="8" customWidth="1"/>
    <col min="10" max="10" width="9.109375" style="8"/>
    <col min="11" max="11" width="11.109375" style="8" customWidth="1"/>
    <col min="12" max="16384" width="9.109375" style="8"/>
  </cols>
  <sheetData>
    <row r="1" spans="1:11" x14ac:dyDescent="0.25">
      <c r="H1" s="8" t="s">
        <v>5</v>
      </c>
    </row>
    <row r="2" spans="1:11" x14ac:dyDescent="0.25">
      <c r="H2" s="8" t="s">
        <v>6</v>
      </c>
    </row>
    <row r="3" spans="1:11" ht="5.25" customHeight="1" x14ac:dyDescent="0.25">
      <c r="K3" s="76"/>
    </row>
    <row r="4" spans="1:11" ht="14.4" thickBot="1" x14ac:dyDescent="0.3">
      <c r="A4" s="180" t="s">
        <v>7</v>
      </c>
      <c r="B4" s="180"/>
      <c r="C4" s="180"/>
      <c r="D4" s="180"/>
      <c r="E4" s="180"/>
      <c r="F4" s="180"/>
      <c r="G4" s="180"/>
      <c r="H4" s="180"/>
      <c r="I4" s="180"/>
      <c r="K4" s="77" t="str">
        <f ca="1">MID(CELL("имяфайла",A1),SEARCH("]",CELL("имяфайла",A1))+1,LEN(CELL("имяфайла",A1)))</f>
        <v>АВК 8</v>
      </c>
    </row>
    <row r="5" spans="1:11" ht="10.5" customHeight="1" x14ac:dyDescent="0.25">
      <c r="F5" s="181" t="s">
        <v>95</v>
      </c>
      <c r="G5" s="182"/>
      <c r="H5" s="182"/>
      <c r="I5" s="183"/>
      <c r="K5" s="78">
        <f ca="1">RIGHT(K4,LEN(K4)-4)+2</f>
        <v>10</v>
      </c>
    </row>
    <row r="6" spans="1:11" ht="14.4" thickBot="1" x14ac:dyDescent="0.3">
      <c r="F6" s="184"/>
      <c r="G6" s="185"/>
      <c r="H6" s="185"/>
      <c r="I6" s="186"/>
      <c r="K6" s="79"/>
    </row>
    <row r="7" spans="1:11" x14ac:dyDescent="0.25">
      <c r="F7" s="187" t="s">
        <v>8</v>
      </c>
      <c r="G7" s="187"/>
      <c r="H7" s="187"/>
      <c r="I7" s="187"/>
    </row>
    <row r="8" spans="1:11" ht="46.8" customHeight="1" x14ac:dyDescent="0.25">
      <c r="A8" s="8" t="s">
        <v>9</v>
      </c>
      <c r="D8" s="188" t="str">
        <f>'Жвх.к (т)'!C17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E8" s="188"/>
      <c r="F8" s="188"/>
      <c r="G8" s="188"/>
      <c r="H8" s="188"/>
      <c r="I8" s="188"/>
    </row>
    <row r="9" spans="1:11" x14ac:dyDescent="0.25">
      <c r="A9" s="189" t="s">
        <v>10</v>
      </c>
      <c r="B9" s="189"/>
      <c r="C9" s="189"/>
      <c r="D9" s="190" t="s">
        <v>96</v>
      </c>
      <c r="E9" s="190"/>
      <c r="F9" s="190"/>
      <c r="G9" s="190"/>
      <c r="H9" s="190"/>
      <c r="I9" s="190"/>
    </row>
    <row r="11" spans="1:11" x14ac:dyDescent="0.25">
      <c r="A11" s="180" t="str">
        <f ca="1">CONCATENATE("АКТ № ",INDIRECT("'Форма журнала'!R"&amp;K5&amp;"C2",0))</f>
        <v>АКТ № 5</v>
      </c>
      <c r="B11" s="180"/>
      <c r="C11" s="180"/>
      <c r="D11" s="180"/>
      <c r="E11" s="180"/>
      <c r="F11" s="180"/>
      <c r="G11" s="180"/>
      <c r="H11" s="180"/>
      <c r="I11" s="180"/>
    </row>
    <row r="12" spans="1:11" x14ac:dyDescent="0.25">
      <c r="A12" s="180" t="s">
        <v>11</v>
      </c>
      <c r="B12" s="180"/>
      <c r="C12" s="180"/>
      <c r="D12" s="180"/>
      <c r="E12" s="180"/>
      <c r="F12" s="180"/>
      <c r="G12" s="180"/>
      <c r="H12" s="180"/>
      <c r="I12" s="180"/>
    </row>
    <row r="13" spans="1:11" x14ac:dyDescent="0.25">
      <c r="A13" s="172"/>
      <c r="B13" s="172"/>
      <c r="G13" s="193">
        <f ca="1">INDIRECT("'Форма журнала'!R"&amp;K5&amp;"C3",0)</f>
        <v>45607</v>
      </c>
      <c r="H13" s="193"/>
      <c r="I13" s="193"/>
    </row>
    <row r="14" spans="1:11" x14ac:dyDescent="0.25">
      <c r="A14" s="191" t="s">
        <v>12</v>
      </c>
      <c r="B14" s="191"/>
    </row>
    <row r="15" spans="1:11" x14ac:dyDescent="0.25">
      <c r="A15" s="8" t="s">
        <v>13</v>
      </c>
      <c r="C15" s="192" t="str">
        <f>'Жвх.к (т)'!B7</f>
        <v>ООО «СЭТ»</v>
      </c>
      <c r="D15" s="192"/>
      <c r="E15" s="192"/>
      <c r="F15" s="41" t="s">
        <v>523</v>
      </c>
      <c r="G15" s="41"/>
      <c r="H15" s="41"/>
      <c r="I15" s="41"/>
    </row>
    <row r="16" spans="1:11" x14ac:dyDescent="0.25">
      <c r="C16" s="19" t="s">
        <v>22</v>
      </c>
    </row>
    <row r="17" spans="1:9" x14ac:dyDescent="0.25">
      <c r="A17" s="8" t="s">
        <v>34</v>
      </c>
      <c r="C17" s="19"/>
    </row>
    <row r="18" spans="1:9" ht="30.75" customHeight="1" x14ac:dyDescent="0.3">
      <c r="A18" s="179" t="str">
        <f>CONCATENATE(ПОДПИСИ!B7," ",ПОДПИСИ!C7)</f>
        <v>Директор по строительству ООО «СЭТ» Потоцкий А.А.</v>
      </c>
      <c r="B18" s="179"/>
      <c r="C18" s="179"/>
      <c r="D18" s="179"/>
      <c r="E18" s="179"/>
      <c r="F18" s="179"/>
      <c r="G18" s="179"/>
      <c r="H18" s="179"/>
      <c r="I18" s="179"/>
    </row>
    <row r="19" spans="1:9" x14ac:dyDescent="0.25">
      <c r="A19" s="8" t="s">
        <v>23</v>
      </c>
    </row>
    <row r="20" spans="1:9" x14ac:dyDescent="0.25">
      <c r="B20" s="174" t="str">
        <f>CONCATENATE(ПОДПИСИ!B9," ",ПОДПИСИ!C9)</f>
        <v>Начальник участка ООО «СЭТ» Нугуманов М.А.</v>
      </c>
      <c r="C20" s="174"/>
      <c r="D20" s="174"/>
      <c r="E20" s="174"/>
      <c r="F20" s="174"/>
      <c r="G20" s="174"/>
      <c r="H20" s="174"/>
      <c r="I20" s="174"/>
    </row>
    <row r="21" spans="1:9" ht="9" customHeight="1" x14ac:dyDescent="0.25">
      <c r="B21" s="173" t="s">
        <v>24</v>
      </c>
      <c r="C21" s="173"/>
      <c r="D21" s="173"/>
      <c r="E21" s="173"/>
      <c r="F21" s="173"/>
      <c r="G21" s="173"/>
      <c r="H21" s="173"/>
      <c r="I21" s="173"/>
    </row>
    <row r="22" spans="1:9" ht="30.75" customHeight="1" x14ac:dyDescent="0.25">
      <c r="B22" s="174" t="str">
        <f>CONCATENATE(ПОДПИСИ!B11," ",ПОДПИСИ!C11)</f>
        <v>Ведущий инженер строительного контроля ООО «СЭТ» Кольцов А.Г.</v>
      </c>
      <c r="C22" s="174"/>
      <c r="D22" s="174"/>
      <c r="E22" s="174"/>
      <c r="F22" s="174"/>
      <c r="G22" s="174"/>
      <c r="H22" s="174"/>
      <c r="I22" s="174"/>
    </row>
    <row r="23" spans="1:9" ht="11.25" customHeight="1" x14ac:dyDescent="0.25">
      <c r="B23" s="173" t="s">
        <v>24</v>
      </c>
      <c r="C23" s="173"/>
      <c r="D23" s="173"/>
      <c r="E23" s="173"/>
      <c r="F23" s="173"/>
      <c r="G23" s="173"/>
      <c r="H23" s="173"/>
      <c r="I23" s="173"/>
    </row>
    <row r="24" spans="1:9" x14ac:dyDescent="0.25">
      <c r="B24" s="172"/>
      <c r="C24" s="172"/>
      <c r="D24" s="172"/>
      <c r="E24" s="172"/>
      <c r="F24" s="172"/>
      <c r="G24" s="172"/>
      <c r="H24" s="172"/>
      <c r="I24" s="172"/>
    </row>
    <row r="25" spans="1:9" ht="10.5" customHeight="1" x14ac:dyDescent="0.25">
      <c r="B25" s="173" t="s">
        <v>24</v>
      </c>
      <c r="C25" s="173"/>
      <c r="D25" s="173"/>
      <c r="E25" s="173"/>
      <c r="F25" s="173"/>
      <c r="G25" s="173"/>
      <c r="H25" s="173"/>
      <c r="I25" s="173"/>
    </row>
    <row r="26" spans="1:9" x14ac:dyDescent="0.25">
      <c r="A26" s="8" t="s">
        <v>25</v>
      </c>
    </row>
    <row r="27" spans="1:9" ht="44.25" customHeight="1" x14ac:dyDescent="0.25">
      <c r="A27" s="174" t="s">
        <v>102</v>
      </c>
      <c r="B27" s="174"/>
      <c r="C27" s="174"/>
      <c r="D27" s="174"/>
      <c r="E27" s="174"/>
      <c r="F27" s="174"/>
      <c r="G27" s="174"/>
      <c r="H27" s="174"/>
      <c r="I27" s="174"/>
    </row>
    <row r="28" spans="1:9" x14ac:dyDescent="0.25">
      <c r="A28" s="175" t="s">
        <v>26</v>
      </c>
      <c r="B28" s="175"/>
      <c r="C28" s="175"/>
      <c r="D28" s="175"/>
      <c r="E28" s="175"/>
      <c r="F28" s="175"/>
      <c r="G28" s="175"/>
      <c r="H28" s="175"/>
      <c r="I28" s="175"/>
    </row>
    <row r="29" spans="1:9" x14ac:dyDescent="0.25">
      <c r="A29" s="176" t="s">
        <v>27</v>
      </c>
      <c r="B29" s="176"/>
      <c r="C29" s="176"/>
      <c r="D29" s="176"/>
      <c r="E29" s="176"/>
      <c r="F29" s="176"/>
      <c r="G29" s="176"/>
      <c r="H29" s="176"/>
      <c r="I29" s="176"/>
    </row>
    <row r="30" spans="1:9" x14ac:dyDescent="0.25">
      <c r="A30" s="177" t="s">
        <v>28</v>
      </c>
      <c r="B30" s="177"/>
      <c r="C30" s="177"/>
      <c r="D30" s="177"/>
      <c r="E30" s="177"/>
      <c r="F30" s="177"/>
      <c r="G30" s="177"/>
      <c r="H30" s="177"/>
      <c r="I30" s="177"/>
    </row>
    <row r="31" spans="1:9" x14ac:dyDescent="0.25">
      <c r="A31" s="174" t="str">
        <f ca="1">INDIRECT("'Форма журнала'!R"&amp;K5&amp;"C4",0)</f>
        <v>Стойка железобетонная  СВ110-3,5 (у)</v>
      </c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5" t="s">
        <v>29</v>
      </c>
      <c r="B32" s="175"/>
      <c r="C32" s="175"/>
      <c r="D32" s="175"/>
      <c r="E32" s="175"/>
      <c r="F32" s="175"/>
      <c r="G32" s="175"/>
      <c r="H32" s="175"/>
      <c r="I32" s="175"/>
    </row>
    <row r="33" spans="1:11" x14ac:dyDescent="0.25">
      <c r="A33" s="178" t="s">
        <v>30</v>
      </c>
      <c r="B33" s="178"/>
      <c r="C33" s="178"/>
      <c r="D33" s="178"/>
      <c r="E33" s="178"/>
      <c r="F33" s="178"/>
      <c r="G33" s="178"/>
      <c r="H33" s="178"/>
      <c r="I33" s="178"/>
    </row>
    <row r="34" spans="1:11" ht="22.2" customHeight="1" x14ac:dyDescent="0.25">
      <c r="A34" s="194" t="str">
        <f ca="1">INDIRECT("'Форма журнала'!R"&amp;K5&amp;"C7",0)</f>
        <v>Сертификат соответствия №РОСС BY.HB61.H30298 от 09.11.2021 сроком действия до 08.11.2024</v>
      </c>
      <c r="B34" s="194"/>
      <c r="C34" s="194"/>
      <c r="D34" s="194"/>
      <c r="E34" s="194"/>
      <c r="F34" s="20" t="s">
        <v>31</v>
      </c>
      <c r="G34" s="195"/>
      <c r="H34" s="195"/>
      <c r="I34" s="195"/>
    </row>
    <row r="35" spans="1:11" x14ac:dyDescent="0.25">
      <c r="A35" s="175" t="s">
        <v>33</v>
      </c>
      <c r="B35" s="175"/>
      <c r="C35" s="175"/>
      <c r="D35" s="175"/>
      <c r="E35" s="175"/>
      <c r="F35" s="21"/>
      <c r="G35" s="175" t="s">
        <v>32</v>
      </c>
      <c r="H35" s="175"/>
      <c r="I35" s="175"/>
    </row>
    <row r="36" spans="1:11" x14ac:dyDescent="0.25">
      <c r="A36" s="177" t="s">
        <v>104</v>
      </c>
      <c r="B36" s="177"/>
      <c r="C36" s="192" t="str">
        <f ca="1">INDIRECT("'Форма журнала'!R"&amp;K5&amp;"C5",0)</f>
        <v>6 шт.</v>
      </c>
      <c r="D36" s="192"/>
      <c r="E36" s="192"/>
      <c r="F36" s="26" t="s">
        <v>68</v>
      </c>
      <c r="G36" s="196"/>
      <c r="H36" s="196"/>
      <c r="I36" s="196"/>
    </row>
    <row r="37" spans="1:11" x14ac:dyDescent="0.25">
      <c r="A37" s="21"/>
      <c r="B37" s="21"/>
      <c r="C37" s="175" t="s">
        <v>35</v>
      </c>
      <c r="D37" s="175"/>
      <c r="E37" s="175"/>
      <c r="F37" s="21"/>
      <c r="G37" s="191" t="s">
        <v>36</v>
      </c>
      <c r="H37" s="191"/>
      <c r="I37" s="191"/>
    </row>
    <row r="38" spans="1:11" ht="27.6" customHeight="1" x14ac:dyDescent="0.25">
      <c r="A38" s="177" t="s">
        <v>37</v>
      </c>
      <c r="B38" s="177"/>
      <c r="C38" s="174" t="str">
        <f ca="1">INDIRECT("'Форма журнала'!R"&amp;K5&amp;"C6",0)</f>
        <v>ЗАО "Митеп-Волга"</v>
      </c>
      <c r="D38" s="174"/>
      <c r="E38" s="174"/>
      <c r="F38" s="20" t="s">
        <v>38</v>
      </c>
      <c r="G38" s="195"/>
      <c r="H38" s="195"/>
      <c r="I38" s="195"/>
      <c r="K38" s="28"/>
    </row>
    <row r="39" spans="1:11" x14ac:dyDescent="0.25">
      <c r="A39" s="22"/>
      <c r="B39" s="22"/>
      <c r="C39" s="175" t="s">
        <v>39</v>
      </c>
      <c r="D39" s="175"/>
      <c r="E39" s="175"/>
      <c r="F39" s="20"/>
      <c r="G39" s="191" t="s">
        <v>40</v>
      </c>
      <c r="H39" s="191"/>
      <c r="I39" s="191"/>
    </row>
    <row r="40" spans="1:11" x14ac:dyDescent="0.25">
      <c r="A40" s="22" t="s">
        <v>41</v>
      </c>
      <c r="B40" s="22"/>
      <c r="C40" s="21"/>
      <c r="D40" s="21"/>
      <c r="E40" s="21"/>
      <c r="F40" s="197" t="s">
        <v>101</v>
      </c>
      <c r="G40" s="197"/>
      <c r="H40" s="197"/>
      <c r="I40" s="197"/>
    </row>
    <row r="41" spans="1:11" x14ac:dyDescent="0.25">
      <c r="F41" s="198" t="s">
        <v>42</v>
      </c>
      <c r="G41" s="198"/>
      <c r="H41" s="198"/>
      <c r="I41" s="198"/>
    </row>
    <row r="42" spans="1:11" x14ac:dyDescent="0.25">
      <c r="A42" s="199" t="s">
        <v>43</v>
      </c>
      <c r="B42" s="199"/>
      <c r="C42" s="199"/>
      <c r="D42" s="199"/>
      <c r="E42" s="199"/>
      <c r="F42" s="199"/>
      <c r="G42" s="199"/>
      <c r="H42" s="199"/>
      <c r="I42" s="199"/>
    </row>
    <row r="43" spans="1:11" ht="30" customHeight="1" x14ac:dyDescent="0.25">
      <c r="A43" s="202" t="s">
        <v>14</v>
      </c>
      <c r="B43" s="202"/>
      <c r="C43" s="202"/>
      <c r="D43" s="202"/>
      <c r="E43" s="202" t="s">
        <v>17</v>
      </c>
      <c r="F43" s="202" t="s">
        <v>18</v>
      </c>
      <c r="G43" s="202" t="s">
        <v>19</v>
      </c>
      <c r="H43" s="202" t="s">
        <v>20</v>
      </c>
      <c r="I43" s="202" t="s">
        <v>21</v>
      </c>
    </row>
    <row r="44" spans="1:11" ht="32.25" customHeight="1" x14ac:dyDescent="0.25">
      <c r="A44" s="202" t="s">
        <v>15</v>
      </c>
      <c r="B44" s="202"/>
      <c r="C44" s="202" t="s">
        <v>16</v>
      </c>
      <c r="D44" s="202"/>
      <c r="E44" s="202"/>
      <c r="F44" s="202"/>
      <c r="G44" s="202"/>
      <c r="H44" s="202"/>
      <c r="I44" s="202"/>
    </row>
    <row r="45" spans="1:11" x14ac:dyDescent="0.25">
      <c r="A45" s="201">
        <v>1</v>
      </c>
      <c r="B45" s="201"/>
      <c r="C45" s="201">
        <v>2</v>
      </c>
      <c r="D45" s="201"/>
      <c r="E45" s="23">
        <v>3</v>
      </c>
      <c r="F45" s="23">
        <v>4</v>
      </c>
      <c r="G45" s="23">
        <v>5</v>
      </c>
      <c r="H45" s="23">
        <v>6</v>
      </c>
      <c r="I45" s="23">
        <v>7</v>
      </c>
    </row>
    <row r="46" spans="1:11" x14ac:dyDescent="0.25">
      <c r="A46" s="24" t="str">
        <f ca="1">C36</f>
        <v>6 шт.</v>
      </c>
      <c r="B46" s="24"/>
      <c r="C46" s="24"/>
      <c r="D46" s="24"/>
      <c r="E46" s="24"/>
      <c r="F46" s="24"/>
      <c r="G46" s="24"/>
      <c r="H46" s="24"/>
      <c r="I46" s="24" t="s">
        <v>127</v>
      </c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00" t="s">
        <v>44</v>
      </c>
      <c r="B48" s="200"/>
      <c r="C48" s="200"/>
      <c r="D48" s="200"/>
      <c r="E48" s="200"/>
      <c r="F48" s="200"/>
      <c r="G48" s="200"/>
      <c r="H48" s="200"/>
      <c r="I48" s="200"/>
    </row>
    <row r="49" spans="1:9" x14ac:dyDescent="0.25">
      <c r="A49" s="189" t="s">
        <v>45</v>
      </c>
      <c r="B49" s="189"/>
      <c r="C49" s="189"/>
      <c r="D49" s="189"/>
      <c r="E49" s="189"/>
      <c r="F49" s="192" t="s">
        <v>97</v>
      </c>
      <c r="G49" s="192"/>
      <c r="H49" s="192"/>
      <c r="I49" s="192"/>
    </row>
    <row r="50" spans="1:9" ht="10.5" customHeight="1" x14ac:dyDescent="0.25">
      <c r="A50" s="25"/>
      <c r="B50" s="25"/>
      <c r="C50" s="25"/>
      <c r="D50" s="25"/>
      <c r="E50" s="25"/>
      <c r="F50" s="198" t="s">
        <v>47</v>
      </c>
      <c r="G50" s="198"/>
      <c r="H50" s="198"/>
      <c r="I50" s="198"/>
    </row>
    <row r="51" spans="1:9" ht="15" customHeight="1" x14ac:dyDescent="0.25">
      <c r="A51" s="189" t="s">
        <v>46</v>
      </c>
      <c r="B51" s="189"/>
      <c r="C51" s="189"/>
      <c r="D51" s="189"/>
      <c r="E51" s="189"/>
      <c r="F51" s="192" t="s">
        <v>95</v>
      </c>
      <c r="G51" s="192"/>
      <c r="H51" s="192"/>
      <c r="I51" s="192"/>
    </row>
    <row r="52" spans="1:9" ht="12.75" customHeight="1" x14ac:dyDescent="0.25">
      <c r="F52" s="198" t="s">
        <v>48</v>
      </c>
      <c r="G52" s="198"/>
      <c r="H52" s="198"/>
      <c r="I52" s="198"/>
    </row>
    <row r="53" spans="1:9" x14ac:dyDescent="0.25">
      <c r="A53" s="189" t="s">
        <v>49</v>
      </c>
      <c r="B53" s="189"/>
      <c r="C53" s="189"/>
      <c r="D53" s="189"/>
      <c r="E53" s="189"/>
      <c r="F53" s="192" t="s">
        <v>95</v>
      </c>
      <c r="G53" s="192"/>
      <c r="H53" s="192"/>
      <c r="I53" s="192"/>
    </row>
    <row r="54" spans="1:9" ht="11.25" customHeight="1" x14ac:dyDescent="0.25">
      <c r="F54" s="198" t="s">
        <v>48</v>
      </c>
      <c r="G54" s="198"/>
      <c r="H54" s="198"/>
      <c r="I54" s="198"/>
    </row>
    <row r="55" spans="1:9" x14ac:dyDescent="0.25">
      <c r="A55" s="189" t="s">
        <v>50</v>
      </c>
      <c r="B55" s="189"/>
      <c r="C55" s="189"/>
      <c r="D55" s="189"/>
      <c r="E55" s="189"/>
      <c r="F55" s="192" t="s">
        <v>95</v>
      </c>
      <c r="G55" s="192"/>
      <c r="H55" s="192"/>
      <c r="I55" s="192"/>
    </row>
    <row r="56" spans="1:9" ht="10.5" customHeight="1" x14ac:dyDescent="0.25">
      <c r="F56" s="198" t="s">
        <v>48</v>
      </c>
      <c r="G56" s="198"/>
      <c r="H56" s="198"/>
      <c r="I56" s="198"/>
    </row>
    <row r="57" spans="1:9" ht="15" customHeight="1" x14ac:dyDescent="0.25">
      <c r="A57" s="189" t="s">
        <v>51</v>
      </c>
      <c r="B57" s="189"/>
      <c r="C57" s="189"/>
      <c r="D57" s="189"/>
      <c r="E57" s="189"/>
      <c r="F57" s="192" t="str">
        <f ca="1">IF(OR(INDIRECT("'Форма журнала'!R"&amp;K5&amp;"C13",0)="",INDIRECT("'Форма журнала'!R"&amp;K5&amp;"C13",0)=0),"отсутствует",INDIRECT("'Форма журнала'!R"&amp;K5&amp;"C13",0))</f>
        <v>IЗ-159/20</v>
      </c>
      <c r="G57" s="192"/>
      <c r="H57" s="192"/>
      <c r="I57" s="192"/>
    </row>
    <row r="58" spans="1:9" ht="9.75" customHeight="1" x14ac:dyDescent="0.25">
      <c r="F58" s="198" t="s">
        <v>48</v>
      </c>
      <c r="G58" s="198"/>
      <c r="H58" s="198"/>
      <c r="I58" s="198"/>
    </row>
    <row r="59" spans="1:9" x14ac:dyDescent="0.25">
      <c r="A59" s="189" t="s">
        <v>52</v>
      </c>
      <c r="B59" s="189"/>
      <c r="C59" s="189"/>
      <c r="D59" s="189"/>
      <c r="E59" s="189"/>
      <c r="F59" s="189"/>
      <c r="G59" s="189"/>
      <c r="H59" s="192" t="s">
        <v>98</v>
      </c>
      <c r="I59" s="192"/>
    </row>
    <row r="60" spans="1:9" x14ac:dyDescent="0.25">
      <c r="H60" s="203" t="s">
        <v>53</v>
      </c>
      <c r="I60" s="203"/>
    </row>
    <row r="61" spans="1:9" x14ac:dyDescent="0.25">
      <c r="A61" s="8" t="s">
        <v>54</v>
      </c>
      <c r="B61" s="192" t="s">
        <v>99</v>
      </c>
      <c r="C61" s="192"/>
      <c r="D61" s="192"/>
      <c r="E61" s="8" t="s">
        <v>55</v>
      </c>
      <c r="F61" s="192" t="s">
        <v>100</v>
      </c>
      <c r="G61" s="192"/>
      <c r="H61" s="192"/>
      <c r="I61" s="192"/>
    </row>
    <row r="62" spans="1:9" x14ac:dyDescent="0.25">
      <c r="B62" s="203" t="s">
        <v>57</v>
      </c>
      <c r="C62" s="203"/>
      <c r="D62" s="203"/>
      <c r="F62" s="198" t="s">
        <v>56</v>
      </c>
      <c r="G62" s="198"/>
      <c r="H62" s="198"/>
      <c r="I62" s="198"/>
    </row>
    <row r="63" spans="1:9" x14ac:dyDescent="0.25">
      <c r="A63" s="189" t="s">
        <v>58</v>
      </c>
      <c r="B63" s="189"/>
      <c r="C63" s="189"/>
      <c r="D63" s="189"/>
      <c r="E63" s="189"/>
      <c r="F63" s="189"/>
      <c r="G63" s="189"/>
      <c r="H63" s="189"/>
      <c r="I63" s="189"/>
    </row>
    <row r="64" spans="1:9" x14ac:dyDescent="0.25">
      <c r="A64" s="172"/>
      <c r="B64" s="172"/>
      <c r="C64" s="172"/>
      <c r="D64" s="172"/>
      <c r="E64" s="172"/>
      <c r="F64" s="172"/>
      <c r="G64" s="172"/>
      <c r="H64" s="172"/>
      <c r="I64" s="172"/>
    </row>
    <row r="65" spans="1:9" ht="11.25" customHeight="1" x14ac:dyDescent="0.25">
      <c r="A65" s="198" t="s">
        <v>59</v>
      </c>
      <c r="B65" s="198"/>
      <c r="C65" s="198"/>
      <c r="D65" s="198"/>
      <c r="E65" s="198"/>
      <c r="F65" s="198"/>
      <c r="G65" s="198"/>
      <c r="H65" s="198"/>
      <c r="I65" s="198"/>
    </row>
    <row r="66" spans="1:9" x14ac:dyDescent="0.25">
      <c r="A66" s="172"/>
      <c r="B66" s="172"/>
      <c r="C66" s="172"/>
      <c r="D66" s="172"/>
      <c r="E66" s="172"/>
      <c r="F66" s="172"/>
      <c r="G66" s="172"/>
      <c r="H66" s="172"/>
      <c r="I66" s="172"/>
    </row>
    <row r="67" spans="1:9" ht="12" customHeight="1" x14ac:dyDescent="0.25">
      <c r="A67" s="198" t="s">
        <v>60</v>
      </c>
      <c r="B67" s="198"/>
      <c r="C67" s="198"/>
      <c r="D67" s="198"/>
      <c r="E67" s="198"/>
      <c r="F67" s="198"/>
      <c r="G67" s="198"/>
      <c r="H67" s="198"/>
      <c r="I67" s="198"/>
    </row>
    <row r="68" spans="1:9" x14ac:dyDescent="0.25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ht="8.25" customHeight="1" x14ac:dyDescent="0.25"/>
    <row r="70" spans="1:9" x14ac:dyDescent="0.25">
      <c r="A70" s="204" t="s">
        <v>61</v>
      </c>
      <c r="B70" s="204"/>
      <c r="C70" s="204"/>
      <c r="D70" s="204"/>
      <c r="E70" s="172"/>
      <c r="F70" s="172"/>
      <c r="G70" s="172"/>
      <c r="H70" s="172"/>
      <c r="I70" s="172"/>
    </row>
    <row r="71" spans="1:9" ht="12.75" customHeight="1" x14ac:dyDescent="0.25">
      <c r="E71" s="198" t="s">
        <v>62</v>
      </c>
      <c r="F71" s="198"/>
      <c r="G71" s="198"/>
      <c r="H71" s="198"/>
      <c r="I71" s="198"/>
    </row>
    <row r="73" spans="1:9" ht="28.5" customHeight="1" x14ac:dyDescent="0.25">
      <c r="A73" s="189" t="s">
        <v>63</v>
      </c>
      <c r="B73" s="189"/>
      <c r="C73" s="174" t="str">
        <f>A18</f>
        <v>Директор по строительству ООО «СЭТ» Потоцкий А.А.</v>
      </c>
      <c r="D73" s="174"/>
      <c r="E73" s="174"/>
      <c r="F73" s="174"/>
      <c r="G73" s="174"/>
      <c r="H73" s="174"/>
      <c r="I73" s="174"/>
    </row>
    <row r="74" spans="1:9" ht="12" customHeight="1" x14ac:dyDescent="0.25">
      <c r="C74" s="198" t="s">
        <v>64</v>
      </c>
      <c r="D74" s="198"/>
      <c r="E74" s="198"/>
      <c r="F74" s="198"/>
      <c r="G74" s="198"/>
      <c r="H74" s="198"/>
      <c r="I74" s="198"/>
    </row>
    <row r="76" spans="1:9" x14ac:dyDescent="0.25">
      <c r="A76" s="189" t="s">
        <v>65</v>
      </c>
      <c r="B76" s="189"/>
      <c r="C76" s="174" t="str">
        <f>B20</f>
        <v>Начальник участка ООО «СЭТ» Нугуманов М.А.</v>
      </c>
      <c r="D76" s="174"/>
      <c r="E76" s="174"/>
      <c r="F76" s="174"/>
      <c r="G76" s="174"/>
      <c r="H76" s="174"/>
      <c r="I76" s="174"/>
    </row>
    <row r="77" spans="1:9" ht="11.25" customHeight="1" x14ac:dyDescent="0.25">
      <c r="C77" s="173" t="s">
        <v>64</v>
      </c>
      <c r="D77" s="173"/>
      <c r="E77" s="173"/>
      <c r="F77" s="173"/>
      <c r="G77" s="173"/>
      <c r="H77" s="173"/>
      <c r="I77" s="173"/>
    </row>
    <row r="78" spans="1:9" ht="28.5" customHeight="1" x14ac:dyDescent="0.25">
      <c r="C78" s="174" t="str">
        <f>B22</f>
        <v>Ведущий инженер строительного контроля ООО «СЭТ» Кольцов А.Г.</v>
      </c>
      <c r="D78" s="174"/>
      <c r="E78" s="174"/>
      <c r="F78" s="174"/>
      <c r="G78" s="174"/>
      <c r="H78" s="174"/>
      <c r="I78" s="174"/>
    </row>
    <row r="79" spans="1:9" ht="12" customHeight="1" x14ac:dyDescent="0.25">
      <c r="C79" s="173" t="s">
        <v>64</v>
      </c>
      <c r="D79" s="173"/>
      <c r="E79" s="173"/>
      <c r="F79" s="173"/>
      <c r="G79" s="173"/>
      <c r="H79" s="173"/>
      <c r="I79" s="173"/>
    </row>
    <row r="80" spans="1:9" x14ac:dyDescent="0.25">
      <c r="C80" s="172"/>
      <c r="D80" s="172"/>
      <c r="E80" s="172"/>
      <c r="F80" s="172"/>
      <c r="G80" s="172"/>
      <c r="H80" s="172"/>
      <c r="I80" s="172"/>
    </row>
    <row r="81" spans="1:9" x14ac:dyDescent="0.25">
      <c r="C81" s="173" t="s">
        <v>64</v>
      </c>
      <c r="D81" s="173"/>
      <c r="E81" s="173"/>
      <c r="F81" s="173"/>
      <c r="G81" s="173"/>
      <c r="H81" s="173"/>
      <c r="I81" s="173"/>
    </row>
    <row r="83" spans="1:9" x14ac:dyDescent="0.25">
      <c r="A83" s="189" t="s">
        <v>66</v>
      </c>
      <c r="B83" s="189"/>
      <c r="C83" s="189"/>
    </row>
    <row r="84" spans="1:9" x14ac:dyDescent="0.25">
      <c r="A84" s="192" t="str">
        <f>CONCATENATE(ПОДПИСИ!B13," ",ПОДПИСИ!C13)</f>
        <v>Ведущий инженер отдела строительного контроля АО "ЛЭСР" Сафуанова В.А.</v>
      </c>
      <c r="B84" s="192"/>
      <c r="C84" s="192"/>
      <c r="D84" s="192"/>
      <c r="E84" s="192"/>
      <c r="F84" s="192"/>
      <c r="G84" s="192"/>
      <c r="H84" s="192"/>
      <c r="I84" s="192"/>
    </row>
    <row r="85" spans="1:9" x14ac:dyDescent="0.25">
      <c r="A85" s="191" t="s">
        <v>64</v>
      </c>
      <c r="B85" s="191"/>
      <c r="C85" s="191"/>
      <c r="D85" s="191"/>
      <c r="E85" s="191"/>
      <c r="F85" s="191"/>
      <c r="G85" s="191"/>
      <c r="H85" s="191"/>
      <c r="I85" s="191"/>
    </row>
    <row r="87" spans="1:9" x14ac:dyDescent="0.25">
      <c r="A87" s="189" t="s">
        <v>67</v>
      </c>
      <c r="B87" s="189"/>
      <c r="C87" s="172"/>
      <c r="D87" s="172"/>
      <c r="E87" s="172"/>
      <c r="F87" s="172"/>
      <c r="G87" s="172"/>
      <c r="H87" s="172"/>
      <c r="I87" s="172"/>
    </row>
    <row r="88" spans="1:9" x14ac:dyDescent="0.25">
      <c r="A88" s="172"/>
      <c r="B88" s="172"/>
      <c r="C88" s="172"/>
      <c r="D88" s="172"/>
      <c r="E88" s="172"/>
      <c r="F88" s="172"/>
      <c r="G88" s="172"/>
      <c r="H88" s="172"/>
      <c r="I88" s="172"/>
    </row>
    <row r="89" spans="1:9" x14ac:dyDescent="0.25">
      <c r="A89" s="205"/>
      <c r="B89" s="205"/>
      <c r="C89" s="205"/>
      <c r="D89" s="205"/>
      <c r="E89" s="205"/>
      <c r="F89" s="205"/>
      <c r="G89" s="205"/>
      <c r="H89" s="205"/>
      <c r="I89" s="205"/>
    </row>
  </sheetData>
  <mergeCells count="102">
    <mergeCell ref="A11:I11"/>
    <mergeCell ref="A12:I12"/>
    <mergeCell ref="A13:B13"/>
    <mergeCell ref="G13:I13"/>
    <mergeCell ref="A14:B14"/>
    <mergeCell ref="C15:E15"/>
    <mergeCell ref="A4:I4"/>
    <mergeCell ref="F5:I6"/>
    <mergeCell ref="F7:I7"/>
    <mergeCell ref="D8:I8"/>
    <mergeCell ref="A9:C9"/>
    <mergeCell ref="D9:I9"/>
    <mergeCell ref="B25:I25"/>
    <mergeCell ref="A27:I27"/>
    <mergeCell ref="A28:I28"/>
    <mergeCell ref="A29:I29"/>
    <mergeCell ref="A30:I30"/>
    <mergeCell ref="A31:I31"/>
    <mergeCell ref="A18:I18"/>
    <mergeCell ref="B20:I20"/>
    <mergeCell ref="B21:I21"/>
    <mergeCell ref="B22:I22"/>
    <mergeCell ref="B23:I23"/>
    <mergeCell ref="B24:I24"/>
    <mergeCell ref="A36:B36"/>
    <mergeCell ref="C36:E36"/>
    <mergeCell ref="G36:I36"/>
    <mergeCell ref="C37:E37"/>
    <mergeCell ref="G37:I37"/>
    <mergeCell ref="A38:B38"/>
    <mergeCell ref="C38:E38"/>
    <mergeCell ref="G38:I38"/>
    <mergeCell ref="A32:I32"/>
    <mergeCell ref="A33:I33"/>
    <mergeCell ref="A34:E34"/>
    <mergeCell ref="G34:I34"/>
    <mergeCell ref="A35:E35"/>
    <mergeCell ref="G35:I35"/>
    <mergeCell ref="I43:I44"/>
    <mergeCell ref="A44:B44"/>
    <mergeCell ref="C44:D44"/>
    <mergeCell ref="A45:B45"/>
    <mergeCell ref="C45:D45"/>
    <mergeCell ref="A48:I48"/>
    <mergeCell ref="C39:E39"/>
    <mergeCell ref="G39:I39"/>
    <mergeCell ref="F40:I40"/>
    <mergeCell ref="F41:I41"/>
    <mergeCell ref="A42:I42"/>
    <mergeCell ref="A43:D43"/>
    <mergeCell ref="E43:E44"/>
    <mergeCell ref="F43:F44"/>
    <mergeCell ref="G43:G44"/>
    <mergeCell ref="H43:H44"/>
    <mergeCell ref="A53:E53"/>
    <mergeCell ref="F53:I53"/>
    <mergeCell ref="F54:I54"/>
    <mergeCell ref="A55:E55"/>
    <mergeCell ref="F55:I55"/>
    <mergeCell ref="F56:I56"/>
    <mergeCell ref="A49:E49"/>
    <mergeCell ref="F49:I49"/>
    <mergeCell ref="F50:I50"/>
    <mergeCell ref="A51:E51"/>
    <mergeCell ref="F51:I51"/>
    <mergeCell ref="F52:I52"/>
    <mergeCell ref="B61:D61"/>
    <mergeCell ref="F61:I61"/>
    <mergeCell ref="B62:D62"/>
    <mergeCell ref="F62:I62"/>
    <mergeCell ref="A63:I63"/>
    <mergeCell ref="A64:I64"/>
    <mergeCell ref="A57:E57"/>
    <mergeCell ref="F57:I57"/>
    <mergeCell ref="F58:I58"/>
    <mergeCell ref="A59:G59"/>
    <mergeCell ref="H59:I59"/>
    <mergeCell ref="H60:I60"/>
    <mergeCell ref="E71:I71"/>
    <mergeCell ref="A73:B73"/>
    <mergeCell ref="C73:I73"/>
    <mergeCell ref="C74:I74"/>
    <mergeCell ref="A76:B76"/>
    <mergeCell ref="C76:I76"/>
    <mergeCell ref="A65:I65"/>
    <mergeCell ref="A66:I66"/>
    <mergeCell ref="A67:I67"/>
    <mergeCell ref="A68:I68"/>
    <mergeCell ref="A70:D70"/>
    <mergeCell ref="E70:I70"/>
    <mergeCell ref="A84:I84"/>
    <mergeCell ref="A85:I85"/>
    <mergeCell ref="A87:B87"/>
    <mergeCell ref="C87:I87"/>
    <mergeCell ref="A88:I88"/>
    <mergeCell ref="A89:I89"/>
    <mergeCell ref="C77:I77"/>
    <mergeCell ref="C78:I78"/>
    <mergeCell ref="C79:I79"/>
    <mergeCell ref="C80:I80"/>
    <mergeCell ref="C81:I81"/>
    <mergeCell ref="A83:C83"/>
  </mergeCells>
  <dataValidations count="5">
    <dataValidation type="list" allowBlank="1" showInputMessage="1" showErrorMessage="1" sqref="B61:D61" xr:uid="{00000000-0002-0000-0A00-000000000000}">
      <formula1>"допущена, не допущена"</formula1>
    </dataValidation>
    <dataValidation type="list" allowBlank="1" showInputMessage="1" showErrorMessage="1" sqref="H59:I59" xr:uid="{00000000-0002-0000-0A00-000001000000}">
      <formula1>"пригодной, непригодной"</formula1>
    </dataValidation>
    <dataValidation type="list" allowBlank="1" showInputMessage="1" showErrorMessage="1" sqref="F49:I49" xr:uid="{00000000-0002-0000-0A00-000002000000}">
      <formula1>"соответствуют, не соотвествуют"</formula1>
    </dataValidation>
    <dataValidation type="list" allowBlank="1" showInputMessage="1" showErrorMessage="1" sqref="F51:I51 F53:I53 F55:I55" xr:uid="{00000000-0002-0000-0A00-000003000000}">
      <formula1>"соответствует, не соотвествует"</formula1>
    </dataValidation>
    <dataValidation type="list" allowBlank="1" showInputMessage="1" showErrorMessage="1" sqref="F40:I40" xr:uid="{00000000-0002-0000-0A00-000004000000}">
      <formula1>"выполнена, не выполнена"</formula1>
    </dataValidation>
  </dataValidations>
  <pageMargins left="0.25" right="0.25" top="0.75" bottom="0.75" header="0.3" footer="0.3"/>
  <pageSetup paperSize="9" scale="98" orientation="portrait" r:id="rId1"/>
  <rowBreaks count="1" manualBreakCount="1">
    <brk id="41" max="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K89"/>
  <sheetViews>
    <sheetView tabSelected="1" view="pageBreakPreview" zoomScale="60" zoomScaleNormal="100" workbookViewId="0"/>
  </sheetViews>
  <sheetFormatPr defaultColWidth="9.109375" defaultRowHeight="13.8" x14ac:dyDescent="0.25"/>
  <cols>
    <col min="1" max="1" width="9.109375" style="8"/>
    <col min="2" max="2" width="7.44140625" style="8" customWidth="1"/>
    <col min="3" max="3" width="7.5546875" style="8" customWidth="1"/>
    <col min="4" max="4" width="8.33203125" style="8" customWidth="1"/>
    <col min="5" max="5" width="17.6640625" style="8" customWidth="1"/>
    <col min="6" max="6" width="14.44140625" style="8" customWidth="1"/>
    <col min="7" max="7" width="10.6640625" style="8" customWidth="1"/>
    <col min="8" max="8" width="11.44140625" style="8" customWidth="1"/>
    <col min="9" max="9" width="11.6640625" style="8" customWidth="1"/>
    <col min="10" max="10" width="9.109375" style="8"/>
    <col min="11" max="11" width="11.109375" style="8" customWidth="1"/>
    <col min="12" max="16384" width="9.109375" style="8"/>
  </cols>
  <sheetData>
    <row r="1" spans="1:11" x14ac:dyDescent="0.25">
      <c r="H1" s="8" t="s">
        <v>5</v>
      </c>
    </row>
    <row r="2" spans="1:11" x14ac:dyDescent="0.25">
      <c r="H2" s="8" t="s">
        <v>6</v>
      </c>
    </row>
    <row r="3" spans="1:11" ht="5.25" customHeight="1" x14ac:dyDescent="0.25">
      <c r="K3" s="76"/>
    </row>
    <row r="4" spans="1:11" ht="14.4" thickBot="1" x14ac:dyDescent="0.3">
      <c r="A4" s="180" t="s">
        <v>7</v>
      </c>
      <c r="B4" s="180"/>
      <c r="C4" s="180"/>
      <c r="D4" s="180"/>
      <c r="E4" s="180"/>
      <c r="F4" s="180"/>
      <c r="G4" s="180"/>
      <c r="H4" s="180"/>
      <c r="I4" s="180"/>
      <c r="K4" s="77" t="str">
        <f ca="1">MID(CELL("имяфайла",A1),SEARCH("]",CELL("имяфайла",A1))+1,LEN(CELL("имяфайла",A1)))</f>
        <v>АВК 10</v>
      </c>
    </row>
    <row r="5" spans="1:11" ht="10.5" customHeight="1" x14ac:dyDescent="0.25">
      <c r="F5" s="181" t="s">
        <v>95</v>
      </c>
      <c r="G5" s="182"/>
      <c r="H5" s="182"/>
      <c r="I5" s="183"/>
      <c r="K5" s="78">
        <f ca="1">RIGHT(K4,LEN(K4)-4)+2</f>
        <v>12</v>
      </c>
    </row>
    <row r="6" spans="1:11" ht="14.4" thickBot="1" x14ac:dyDescent="0.3">
      <c r="F6" s="184"/>
      <c r="G6" s="185"/>
      <c r="H6" s="185"/>
      <c r="I6" s="186"/>
      <c r="K6" s="79"/>
    </row>
    <row r="7" spans="1:11" x14ac:dyDescent="0.25">
      <c r="F7" s="187" t="s">
        <v>8</v>
      </c>
      <c r="G7" s="187"/>
      <c r="H7" s="187"/>
      <c r="I7" s="187"/>
    </row>
    <row r="8" spans="1:11" ht="46.8" customHeight="1" x14ac:dyDescent="0.25">
      <c r="A8" s="8" t="s">
        <v>9</v>
      </c>
      <c r="D8" s="188" t="str">
        <f>'Жвх.к (т)'!C17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E8" s="188"/>
      <c r="F8" s="188"/>
      <c r="G8" s="188"/>
      <c r="H8" s="188"/>
      <c r="I8" s="188"/>
    </row>
    <row r="9" spans="1:11" x14ac:dyDescent="0.25">
      <c r="A9" s="189" t="s">
        <v>10</v>
      </c>
      <c r="B9" s="189"/>
      <c r="C9" s="189"/>
      <c r="D9" s="190" t="s">
        <v>96</v>
      </c>
      <c r="E9" s="190"/>
      <c r="F9" s="190"/>
      <c r="G9" s="190"/>
      <c r="H9" s="190"/>
      <c r="I9" s="190"/>
    </row>
    <row r="11" spans="1:11" x14ac:dyDescent="0.25">
      <c r="A11" s="180" t="str">
        <f ca="1">CONCATENATE("АКТ № ",INDIRECT("'Форма журнала'!R"&amp;K5&amp;"C2",0))</f>
        <v>АКТ № 6</v>
      </c>
      <c r="B11" s="180"/>
      <c r="C11" s="180"/>
      <c r="D11" s="180"/>
      <c r="E11" s="180"/>
      <c r="F11" s="180"/>
      <c r="G11" s="180"/>
      <c r="H11" s="180"/>
      <c r="I11" s="180"/>
    </row>
    <row r="12" spans="1:11" x14ac:dyDescent="0.25">
      <c r="A12" s="180" t="s">
        <v>11</v>
      </c>
      <c r="B12" s="180"/>
      <c r="C12" s="180"/>
      <c r="D12" s="180"/>
      <c r="E12" s="180"/>
      <c r="F12" s="180"/>
      <c r="G12" s="180"/>
      <c r="H12" s="180"/>
      <c r="I12" s="180"/>
    </row>
    <row r="13" spans="1:11" x14ac:dyDescent="0.25">
      <c r="A13" s="172"/>
      <c r="B13" s="172"/>
      <c r="G13" s="193">
        <f ca="1">INDIRECT("'Форма журнала'!R"&amp;K5&amp;"C3",0)</f>
        <v>45607</v>
      </c>
      <c r="H13" s="193"/>
      <c r="I13" s="193"/>
    </row>
    <row r="14" spans="1:11" x14ac:dyDescent="0.25">
      <c r="A14" s="191" t="s">
        <v>12</v>
      </c>
      <c r="B14" s="191"/>
    </row>
    <row r="15" spans="1:11" x14ac:dyDescent="0.25">
      <c r="A15" s="8" t="s">
        <v>13</v>
      </c>
      <c r="C15" s="192" t="str">
        <f>'Жвх.к (т)'!B7</f>
        <v>ООО «СЭТ»</v>
      </c>
      <c r="D15" s="192"/>
      <c r="E15" s="192"/>
      <c r="F15" s="41" t="s">
        <v>523</v>
      </c>
      <c r="G15" s="41"/>
      <c r="H15" s="41"/>
      <c r="I15" s="41"/>
    </row>
    <row r="16" spans="1:11" x14ac:dyDescent="0.25">
      <c r="C16" s="19" t="s">
        <v>22</v>
      </c>
    </row>
    <row r="17" spans="1:9" x14ac:dyDescent="0.25">
      <c r="A17" s="8" t="s">
        <v>34</v>
      </c>
      <c r="C17" s="19"/>
    </row>
    <row r="18" spans="1:9" ht="30.75" customHeight="1" x14ac:dyDescent="0.3">
      <c r="A18" s="179" t="str">
        <f>CONCATENATE(ПОДПИСИ!B7," ",ПОДПИСИ!C7)</f>
        <v>Директор по строительству ООО «СЭТ» Потоцкий А.А.</v>
      </c>
      <c r="B18" s="179"/>
      <c r="C18" s="179"/>
      <c r="D18" s="179"/>
      <c r="E18" s="179"/>
      <c r="F18" s="179"/>
      <c r="G18" s="179"/>
      <c r="H18" s="179"/>
      <c r="I18" s="179"/>
    </row>
    <row r="19" spans="1:9" x14ac:dyDescent="0.25">
      <c r="A19" s="8" t="s">
        <v>23</v>
      </c>
    </row>
    <row r="20" spans="1:9" x14ac:dyDescent="0.25">
      <c r="B20" s="174" t="str">
        <f>CONCATENATE(ПОДПИСИ!B9," ",ПОДПИСИ!C9)</f>
        <v>Начальник участка ООО «СЭТ» Нугуманов М.А.</v>
      </c>
      <c r="C20" s="174"/>
      <c r="D20" s="174"/>
      <c r="E20" s="174"/>
      <c r="F20" s="174"/>
      <c r="G20" s="174"/>
      <c r="H20" s="174"/>
      <c r="I20" s="174"/>
    </row>
    <row r="21" spans="1:9" ht="9" customHeight="1" x14ac:dyDescent="0.25">
      <c r="B21" s="173" t="s">
        <v>24</v>
      </c>
      <c r="C21" s="173"/>
      <c r="D21" s="173"/>
      <c r="E21" s="173"/>
      <c r="F21" s="173"/>
      <c r="G21" s="173"/>
      <c r="H21" s="173"/>
      <c r="I21" s="173"/>
    </row>
    <row r="22" spans="1:9" ht="30.75" customHeight="1" x14ac:dyDescent="0.25">
      <c r="B22" s="174" t="str">
        <f>CONCATENATE(ПОДПИСИ!B11," ",ПОДПИСИ!C11)</f>
        <v>Ведущий инженер строительного контроля ООО «СЭТ» Кольцов А.Г.</v>
      </c>
      <c r="C22" s="174"/>
      <c r="D22" s="174"/>
      <c r="E22" s="174"/>
      <c r="F22" s="174"/>
      <c r="G22" s="174"/>
      <c r="H22" s="174"/>
      <c r="I22" s="174"/>
    </row>
    <row r="23" spans="1:9" ht="11.25" customHeight="1" x14ac:dyDescent="0.25">
      <c r="B23" s="173" t="s">
        <v>24</v>
      </c>
      <c r="C23" s="173"/>
      <c r="D23" s="173"/>
      <c r="E23" s="173"/>
      <c r="F23" s="173"/>
      <c r="G23" s="173"/>
      <c r="H23" s="173"/>
      <c r="I23" s="173"/>
    </row>
    <row r="24" spans="1:9" x14ac:dyDescent="0.25">
      <c r="B24" s="172"/>
      <c r="C24" s="172"/>
      <c r="D24" s="172"/>
      <c r="E24" s="172"/>
      <c r="F24" s="172"/>
      <c r="G24" s="172"/>
      <c r="H24" s="172"/>
      <c r="I24" s="172"/>
    </row>
    <row r="25" spans="1:9" ht="10.5" customHeight="1" x14ac:dyDescent="0.25">
      <c r="B25" s="173" t="s">
        <v>24</v>
      </c>
      <c r="C25" s="173"/>
      <c r="D25" s="173"/>
      <c r="E25" s="173"/>
      <c r="F25" s="173"/>
      <c r="G25" s="173"/>
      <c r="H25" s="173"/>
      <c r="I25" s="173"/>
    </row>
    <row r="26" spans="1:9" x14ac:dyDescent="0.25">
      <c r="A26" s="8" t="s">
        <v>25</v>
      </c>
    </row>
    <row r="27" spans="1:9" ht="44.25" customHeight="1" x14ac:dyDescent="0.25">
      <c r="A27" s="174" t="s">
        <v>102</v>
      </c>
      <c r="B27" s="174"/>
      <c r="C27" s="174"/>
      <c r="D27" s="174"/>
      <c r="E27" s="174"/>
      <c r="F27" s="174"/>
      <c r="G27" s="174"/>
      <c r="H27" s="174"/>
      <c r="I27" s="174"/>
    </row>
    <row r="28" spans="1:9" x14ac:dyDescent="0.25">
      <c r="A28" s="175" t="s">
        <v>26</v>
      </c>
      <c r="B28" s="175"/>
      <c r="C28" s="175"/>
      <c r="D28" s="175"/>
      <c r="E28" s="175"/>
      <c r="F28" s="175"/>
      <c r="G28" s="175"/>
      <c r="H28" s="175"/>
      <c r="I28" s="175"/>
    </row>
    <row r="29" spans="1:9" x14ac:dyDescent="0.25">
      <c r="A29" s="176" t="s">
        <v>27</v>
      </c>
      <c r="B29" s="176"/>
      <c r="C29" s="176"/>
      <c r="D29" s="176"/>
      <c r="E29" s="176"/>
      <c r="F29" s="176"/>
      <c r="G29" s="176"/>
      <c r="H29" s="176"/>
      <c r="I29" s="176"/>
    </row>
    <row r="30" spans="1:9" x14ac:dyDescent="0.25">
      <c r="A30" s="177" t="s">
        <v>28</v>
      </c>
      <c r="B30" s="177"/>
      <c r="C30" s="177"/>
      <c r="D30" s="177"/>
      <c r="E30" s="177"/>
      <c r="F30" s="177"/>
      <c r="G30" s="177"/>
      <c r="H30" s="177"/>
      <c r="I30" s="177"/>
    </row>
    <row r="31" spans="1:9" x14ac:dyDescent="0.25">
      <c r="A31" s="174" t="str">
        <f ca="1">INDIRECT("'Форма журнала'!R"&amp;K5&amp;"C4",0)</f>
        <v>Траверса ТМ63</v>
      </c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5" t="s">
        <v>29</v>
      </c>
      <c r="B32" s="175"/>
      <c r="C32" s="175"/>
      <c r="D32" s="175"/>
      <c r="E32" s="175"/>
      <c r="F32" s="175"/>
      <c r="G32" s="175"/>
      <c r="H32" s="175"/>
      <c r="I32" s="175"/>
    </row>
    <row r="33" spans="1:11" x14ac:dyDescent="0.25">
      <c r="A33" s="178" t="s">
        <v>30</v>
      </c>
      <c r="B33" s="178"/>
      <c r="C33" s="178"/>
      <c r="D33" s="178"/>
      <c r="E33" s="178"/>
      <c r="F33" s="178"/>
      <c r="G33" s="178"/>
      <c r="H33" s="178"/>
      <c r="I33" s="178"/>
    </row>
    <row r="34" spans="1:11" x14ac:dyDescent="0.25">
      <c r="A34" s="194" t="str">
        <f ca="1">INDIRECT("'Форма журнала'!R"&amp;K5&amp;"C7",0)</f>
        <v>Сертификат соответствия №РОСС RU.НЕ06.Н05218 от 12.04.2023 сроком действия до 11.04.2026</v>
      </c>
      <c r="B34" s="194"/>
      <c r="C34" s="194"/>
      <c r="D34" s="194"/>
      <c r="E34" s="194"/>
      <c r="F34" s="20" t="s">
        <v>31</v>
      </c>
      <c r="G34" s="195"/>
      <c r="H34" s="195"/>
      <c r="I34" s="195"/>
    </row>
    <row r="35" spans="1:11" x14ac:dyDescent="0.25">
      <c r="A35" s="175" t="s">
        <v>33</v>
      </c>
      <c r="B35" s="175"/>
      <c r="C35" s="175"/>
      <c r="D35" s="175"/>
      <c r="E35" s="175"/>
      <c r="F35" s="21"/>
      <c r="G35" s="175" t="s">
        <v>32</v>
      </c>
      <c r="H35" s="175"/>
      <c r="I35" s="175"/>
    </row>
    <row r="36" spans="1:11" x14ac:dyDescent="0.25">
      <c r="A36" s="177" t="s">
        <v>104</v>
      </c>
      <c r="B36" s="177"/>
      <c r="C36" s="192" t="str">
        <f ca="1">INDIRECT("'Форма журнала'!R"&amp;K5&amp;"C5",0)</f>
        <v>2 шт.</v>
      </c>
      <c r="D36" s="192"/>
      <c r="E36" s="192"/>
      <c r="F36" s="26" t="s">
        <v>68</v>
      </c>
      <c r="G36" s="196"/>
      <c r="H36" s="196"/>
      <c r="I36" s="196"/>
    </row>
    <row r="37" spans="1:11" x14ac:dyDescent="0.25">
      <c r="A37" s="21"/>
      <c r="B37" s="21"/>
      <c r="C37" s="175" t="s">
        <v>35</v>
      </c>
      <c r="D37" s="175"/>
      <c r="E37" s="175"/>
      <c r="F37" s="21"/>
      <c r="G37" s="191" t="s">
        <v>36</v>
      </c>
      <c r="H37" s="191"/>
      <c r="I37" s="191"/>
    </row>
    <row r="38" spans="1:11" ht="27" customHeight="1" x14ac:dyDescent="0.25">
      <c r="A38" s="177" t="s">
        <v>37</v>
      </c>
      <c r="B38" s="177"/>
      <c r="C38" s="174" t="str">
        <f ca="1">INDIRECT("'Форма журнала'!R"&amp;K5&amp;"C6",0)</f>
        <v>ООО "НИЛЕД"</v>
      </c>
      <c r="D38" s="174"/>
      <c r="E38" s="174"/>
      <c r="F38" s="20" t="s">
        <v>38</v>
      </c>
      <c r="G38" s="195"/>
      <c r="H38" s="195"/>
      <c r="I38" s="195"/>
      <c r="K38" s="28"/>
    </row>
    <row r="39" spans="1:11" x14ac:dyDescent="0.25">
      <c r="A39" s="22"/>
      <c r="B39" s="22"/>
      <c r="C39" s="175" t="s">
        <v>39</v>
      </c>
      <c r="D39" s="175"/>
      <c r="E39" s="175"/>
      <c r="F39" s="20"/>
      <c r="G39" s="191" t="s">
        <v>40</v>
      </c>
      <c r="H39" s="191"/>
      <c r="I39" s="191"/>
    </row>
    <row r="40" spans="1:11" x14ac:dyDescent="0.25">
      <c r="A40" s="22" t="s">
        <v>41</v>
      </c>
      <c r="B40" s="22"/>
      <c r="C40" s="21"/>
      <c r="D40" s="21"/>
      <c r="E40" s="21"/>
      <c r="F40" s="197" t="s">
        <v>101</v>
      </c>
      <c r="G40" s="197"/>
      <c r="H40" s="197"/>
      <c r="I40" s="197"/>
    </row>
    <row r="41" spans="1:11" x14ac:dyDescent="0.25">
      <c r="F41" s="198" t="s">
        <v>42</v>
      </c>
      <c r="G41" s="198"/>
      <c r="H41" s="198"/>
      <c r="I41" s="198"/>
    </row>
    <row r="42" spans="1:11" x14ac:dyDescent="0.25">
      <c r="A42" s="199" t="s">
        <v>43</v>
      </c>
      <c r="B42" s="199"/>
      <c r="C42" s="199"/>
      <c r="D42" s="199"/>
      <c r="E42" s="199"/>
      <c r="F42" s="199"/>
      <c r="G42" s="199"/>
      <c r="H42" s="199"/>
      <c r="I42" s="199"/>
    </row>
    <row r="43" spans="1:11" ht="30" customHeight="1" x14ac:dyDescent="0.25">
      <c r="A43" s="202" t="s">
        <v>14</v>
      </c>
      <c r="B43" s="202"/>
      <c r="C43" s="202"/>
      <c r="D43" s="202"/>
      <c r="E43" s="202" t="s">
        <v>17</v>
      </c>
      <c r="F43" s="202" t="s">
        <v>18</v>
      </c>
      <c r="G43" s="202" t="s">
        <v>19</v>
      </c>
      <c r="H43" s="202" t="s">
        <v>20</v>
      </c>
      <c r="I43" s="202" t="s">
        <v>21</v>
      </c>
    </row>
    <row r="44" spans="1:11" ht="32.25" customHeight="1" x14ac:dyDescent="0.25">
      <c r="A44" s="202" t="s">
        <v>15</v>
      </c>
      <c r="B44" s="202"/>
      <c r="C44" s="202" t="s">
        <v>16</v>
      </c>
      <c r="D44" s="202"/>
      <c r="E44" s="202"/>
      <c r="F44" s="202"/>
      <c r="G44" s="202"/>
      <c r="H44" s="202"/>
      <c r="I44" s="202"/>
    </row>
    <row r="45" spans="1:11" x14ac:dyDescent="0.25">
      <c r="A45" s="201">
        <v>1</v>
      </c>
      <c r="B45" s="201"/>
      <c r="C45" s="201">
        <v>2</v>
      </c>
      <c r="D45" s="201"/>
      <c r="E45" s="23">
        <v>3</v>
      </c>
      <c r="F45" s="23">
        <v>4</v>
      </c>
      <c r="G45" s="23">
        <v>5</v>
      </c>
      <c r="H45" s="23">
        <v>6</v>
      </c>
      <c r="I45" s="23">
        <v>7</v>
      </c>
    </row>
    <row r="46" spans="1:11" x14ac:dyDescent="0.25">
      <c r="A46" s="24" t="str">
        <f ca="1">C36</f>
        <v>2 шт.</v>
      </c>
      <c r="B46" s="24"/>
      <c r="C46" s="24"/>
      <c r="D46" s="24"/>
      <c r="E46" s="24"/>
      <c r="F46" s="24"/>
      <c r="G46" s="24"/>
      <c r="H46" s="24"/>
      <c r="I46" s="24" t="s">
        <v>127</v>
      </c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00" t="s">
        <v>44</v>
      </c>
      <c r="B48" s="200"/>
      <c r="C48" s="200"/>
      <c r="D48" s="200"/>
      <c r="E48" s="200"/>
      <c r="F48" s="200"/>
      <c r="G48" s="200"/>
      <c r="H48" s="200"/>
      <c r="I48" s="200"/>
    </row>
    <row r="49" spans="1:9" x14ac:dyDescent="0.25">
      <c r="A49" s="189" t="s">
        <v>45</v>
      </c>
      <c r="B49" s="189"/>
      <c r="C49" s="189"/>
      <c r="D49" s="189"/>
      <c r="E49" s="189"/>
      <c r="F49" s="192" t="s">
        <v>97</v>
      </c>
      <c r="G49" s="192"/>
      <c r="H49" s="192"/>
      <c r="I49" s="192"/>
    </row>
    <row r="50" spans="1:9" ht="10.5" customHeight="1" x14ac:dyDescent="0.25">
      <c r="A50" s="25"/>
      <c r="B50" s="25"/>
      <c r="C50" s="25"/>
      <c r="D50" s="25"/>
      <c r="E50" s="25"/>
      <c r="F50" s="198" t="s">
        <v>47</v>
      </c>
      <c r="G50" s="198"/>
      <c r="H50" s="198"/>
      <c r="I50" s="198"/>
    </row>
    <row r="51" spans="1:9" ht="15" customHeight="1" x14ac:dyDescent="0.25">
      <c r="A51" s="189" t="s">
        <v>46</v>
      </c>
      <c r="B51" s="189"/>
      <c r="C51" s="189"/>
      <c r="D51" s="189"/>
      <c r="E51" s="189"/>
      <c r="F51" s="192" t="s">
        <v>95</v>
      </c>
      <c r="G51" s="192"/>
      <c r="H51" s="192"/>
      <c r="I51" s="192"/>
    </row>
    <row r="52" spans="1:9" ht="12.75" customHeight="1" x14ac:dyDescent="0.25">
      <c r="F52" s="198" t="s">
        <v>48</v>
      </c>
      <c r="G52" s="198"/>
      <c r="H52" s="198"/>
      <c r="I52" s="198"/>
    </row>
    <row r="53" spans="1:9" x14ac:dyDescent="0.25">
      <c r="A53" s="189" t="s">
        <v>49</v>
      </c>
      <c r="B53" s="189"/>
      <c r="C53" s="189"/>
      <c r="D53" s="189"/>
      <c r="E53" s="189"/>
      <c r="F53" s="192" t="s">
        <v>95</v>
      </c>
      <c r="G53" s="192"/>
      <c r="H53" s="192"/>
      <c r="I53" s="192"/>
    </row>
    <row r="54" spans="1:9" ht="11.25" customHeight="1" x14ac:dyDescent="0.25">
      <c r="F54" s="198" t="s">
        <v>48</v>
      </c>
      <c r="G54" s="198"/>
      <c r="H54" s="198"/>
      <c r="I54" s="198"/>
    </row>
    <row r="55" spans="1:9" x14ac:dyDescent="0.25">
      <c r="A55" s="189" t="s">
        <v>50</v>
      </c>
      <c r="B55" s="189"/>
      <c r="C55" s="189"/>
      <c r="D55" s="189"/>
      <c r="E55" s="189"/>
      <c r="F55" s="192" t="s">
        <v>95</v>
      </c>
      <c r="G55" s="192"/>
      <c r="H55" s="192"/>
      <c r="I55" s="192"/>
    </row>
    <row r="56" spans="1:9" ht="10.5" customHeight="1" x14ac:dyDescent="0.25">
      <c r="F56" s="198" t="s">
        <v>48</v>
      </c>
      <c r="G56" s="198"/>
      <c r="H56" s="198"/>
      <c r="I56" s="198"/>
    </row>
    <row r="57" spans="1:9" ht="15" customHeight="1" x14ac:dyDescent="0.25">
      <c r="A57" s="189" t="s">
        <v>51</v>
      </c>
      <c r="B57" s="189"/>
      <c r="C57" s="189"/>
      <c r="D57" s="189"/>
      <c r="E57" s="189"/>
      <c r="F57" s="192" t="str">
        <f ca="1">IF(OR(INDIRECT("'Форма журнала'!R"&amp;K5&amp;"C13",0)="",INDIRECT("'Форма журнала'!R"&amp;K5&amp;"C13",0)=0),"отсутствует",INDIRECT("'Форма журнала'!R"&amp;K5&amp;"C13",0))</f>
        <v>Отсутствует</v>
      </c>
      <c r="G57" s="192"/>
      <c r="H57" s="192"/>
      <c r="I57" s="192"/>
    </row>
    <row r="58" spans="1:9" ht="9.75" customHeight="1" x14ac:dyDescent="0.25">
      <c r="F58" s="198" t="s">
        <v>48</v>
      </c>
      <c r="G58" s="198"/>
      <c r="H58" s="198"/>
      <c r="I58" s="198"/>
    </row>
    <row r="59" spans="1:9" x14ac:dyDescent="0.25">
      <c r="A59" s="189" t="s">
        <v>52</v>
      </c>
      <c r="B59" s="189"/>
      <c r="C59" s="189"/>
      <c r="D59" s="189"/>
      <c r="E59" s="189"/>
      <c r="F59" s="189"/>
      <c r="G59" s="189"/>
      <c r="H59" s="192" t="s">
        <v>98</v>
      </c>
      <c r="I59" s="192"/>
    </row>
    <row r="60" spans="1:9" x14ac:dyDescent="0.25">
      <c r="H60" s="203" t="s">
        <v>53</v>
      </c>
      <c r="I60" s="203"/>
    </row>
    <row r="61" spans="1:9" x14ac:dyDescent="0.25">
      <c r="A61" s="8" t="s">
        <v>54</v>
      </c>
      <c r="B61" s="192" t="s">
        <v>99</v>
      </c>
      <c r="C61" s="192"/>
      <c r="D61" s="192"/>
      <c r="E61" s="8" t="s">
        <v>55</v>
      </c>
      <c r="F61" s="192" t="s">
        <v>100</v>
      </c>
      <c r="G61" s="192"/>
      <c r="H61" s="192"/>
      <c r="I61" s="192"/>
    </row>
    <row r="62" spans="1:9" x14ac:dyDescent="0.25">
      <c r="B62" s="203" t="s">
        <v>57</v>
      </c>
      <c r="C62" s="203"/>
      <c r="D62" s="203"/>
      <c r="F62" s="198" t="s">
        <v>56</v>
      </c>
      <c r="G62" s="198"/>
      <c r="H62" s="198"/>
      <c r="I62" s="198"/>
    </row>
    <row r="63" spans="1:9" x14ac:dyDescent="0.25">
      <c r="A63" s="189" t="s">
        <v>58</v>
      </c>
      <c r="B63" s="189"/>
      <c r="C63" s="189"/>
      <c r="D63" s="189"/>
      <c r="E63" s="189"/>
      <c r="F63" s="189"/>
      <c r="G63" s="189"/>
      <c r="H63" s="189"/>
      <c r="I63" s="189"/>
    </row>
    <row r="64" spans="1:9" x14ac:dyDescent="0.25">
      <c r="A64" s="172"/>
      <c r="B64" s="172"/>
      <c r="C64" s="172"/>
      <c r="D64" s="172"/>
      <c r="E64" s="172"/>
      <c r="F64" s="172"/>
      <c r="G64" s="172"/>
      <c r="H64" s="172"/>
      <c r="I64" s="172"/>
    </row>
    <row r="65" spans="1:9" ht="11.25" customHeight="1" x14ac:dyDescent="0.25">
      <c r="A65" s="198" t="s">
        <v>59</v>
      </c>
      <c r="B65" s="198"/>
      <c r="C65" s="198"/>
      <c r="D65" s="198"/>
      <c r="E65" s="198"/>
      <c r="F65" s="198"/>
      <c r="G65" s="198"/>
      <c r="H65" s="198"/>
      <c r="I65" s="198"/>
    </row>
    <row r="66" spans="1:9" x14ac:dyDescent="0.25">
      <c r="A66" s="172"/>
      <c r="B66" s="172"/>
      <c r="C66" s="172"/>
      <c r="D66" s="172"/>
      <c r="E66" s="172"/>
      <c r="F66" s="172"/>
      <c r="G66" s="172"/>
      <c r="H66" s="172"/>
      <c r="I66" s="172"/>
    </row>
    <row r="67" spans="1:9" ht="12" customHeight="1" x14ac:dyDescent="0.25">
      <c r="A67" s="198" t="s">
        <v>60</v>
      </c>
      <c r="B67" s="198"/>
      <c r="C67" s="198"/>
      <c r="D67" s="198"/>
      <c r="E67" s="198"/>
      <c r="F67" s="198"/>
      <c r="G67" s="198"/>
      <c r="H67" s="198"/>
      <c r="I67" s="198"/>
    </row>
    <row r="68" spans="1:9" x14ac:dyDescent="0.25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ht="8.25" customHeight="1" x14ac:dyDescent="0.25"/>
    <row r="70" spans="1:9" x14ac:dyDescent="0.25">
      <c r="A70" s="204" t="s">
        <v>61</v>
      </c>
      <c r="B70" s="204"/>
      <c r="C70" s="204"/>
      <c r="D70" s="204"/>
      <c r="E70" s="172"/>
      <c r="F70" s="172"/>
      <c r="G70" s="172"/>
      <c r="H70" s="172"/>
      <c r="I70" s="172"/>
    </row>
    <row r="71" spans="1:9" ht="12.75" customHeight="1" x14ac:dyDescent="0.25">
      <c r="E71" s="198" t="s">
        <v>62</v>
      </c>
      <c r="F71" s="198"/>
      <c r="G71" s="198"/>
      <c r="H71" s="198"/>
      <c r="I71" s="198"/>
    </row>
    <row r="73" spans="1:9" ht="28.5" customHeight="1" x14ac:dyDescent="0.25">
      <c r="A73" s="189" t="s">
        <v>63</v>
      </c>
      <c r="B73" s="189"/>
      <c r="C73" s="174" t="str">
        <f>A18</f>
        <v>Директор по строительству ООО «СЭТ» Потоцкий А.А.</v>
      </c>
      <c r="D73" s="174"/>
      <c r="E73" s="174"/>
      <c r="F73" s="174"/>
      <c r="G73" s="174"/>
      <c r="H73" s="174"/>
      <c r="I73" s="174"/>
    </row>
    <row r="74" spans="1:9" ht="12" customHeight="1" x14ac:dyDescent="0.25">
      <c r="C74" s="198" t="s">
        <v>64</v>
      </c>
      <c r="D74" s="198"/>
      <c r="E74" s="198"/>
      <c r="F74" s="198"/>
      <c r="G74" s="198"/>
      <c r="H74" s="198"/>
      <c r="I74" s="198"/>
    </row>
    <row r="76" spans="1:9" x14ac:dyDescent="0.25">
      <c r="A76" s="189" t="s">
        <v>65</v>
      </c>
      <c r="B76" s="189"/>
      <c r="C76" s="174" t="str">
        <f>B20</f>
        <v>Начальник участка ООО «СЭТ» Нугуманов М.А.</v>
      </c>
      <c r="D76" s="174"/>
      <c r="E76" s="174"/>
      <c r="F76" s="174"/>
      <c r="G76" s="174"/>
      <c r="H76" s="174"/>
      <c r="I76" s="174"/>
    </row>
    <row r="77" spans="1:9" ht="11.25" customHeight="1" x14ac:dyDescent="0.25">
      <c r="C77" s="173" t="s">
        <v>64</v>
      </c>
      <c r="D77" s="173"/>
      <c r="E77" s="173"/>
      <c r="F77" s="173"/>
      <c r="G77" s="173"/>
      <c r="H77" s="173"/>
      <c r="I77" s="173"/>
    </row>
    <row r="78" spans="1:9" ht="28.5" customHeight="1" x14ac:dyDescent="0.25">
      <c r="C78" s="174" t="str">
        <f>B22</f>
        <v>Ведущий инженер строительного контроля ООО «СЭТ» Кольцов А.Г.</v>
      </c>
      <c r="D78" s="174"/>
      <c r="E78" s="174"/>
      <c r="F78" s="174"/>
      <c r="G78" s="174"/>
      <c r="H78" s="174"/>
      <c r="I78" s="174"/>
    </row>
    <row r="79" spans="1:9" ht="12" customHeight="1" x14ac:dyDescent="0.25">
      <c r="C79" s="173" t="s">
        <v>64</v>
      </c>
      <c r="D79" s="173"/>
      <c r="E79" s="173"/>
      <c r="F79" s="173"/>
      <c r="G79" s="173"/>
      <c r="H79" s="173"/>
      <c r="I79" s="173"/>
    </row>
    <row r="80" spans="1:9" x14ac:dyDescent="0.25">
      <c r="C80" s="172"/>
      <c r="D80" s="172"/>
      <c r="E80" s="172"/>
      <c r="F80" s="172"/>
      <c r="G80" s="172"/>
      <c r="H80" s="172"/>
      <c r="I80" s="172"/>
    </row>
    <row r="81" spans="1:9" x14ac:dyDescent="0.25">
      <c r="C81" s="173" t="s">
        <v>64</v>
      </c>
      <c r="D81" s="173"/>
      <c r="E81" s="173"/>
      <c r="F81" s="173"/>
      <c r="G81" s="173"/>
      <c r="H81" s="173"/>
      <c r="I81" s="173"/>
    </row>
    <row r="83" spans="1:9" x14ac:dyDescent="0.25">
      <c r="A83" s="189" t="s">
        <v>66</v>
      </c>
      <c r="B83" s="189"/>
      <c r="C83" s="189"/>
    </row>
    <row r="84" spans="1:9" x14ac:dyDescent="0.25">
      <c r="A84" s="192" t="str">
        <f>CONCATENATE(ПОДПИСИ!B13," ",ПОДПИСИ!C13)</f>
        <v>Ведущий инженер отдела строительного контроля АО "ЛЭСР" Сафуанова В.А.</v>
      </c>
      <c r="B84" s="192"/>
      <c r="C84" s="192"/>
      <c r="D84" s="192"/>
      <c r="E84" s="192"/>
      <c r="F84" s="192"/>
      <c r="G84" s="192"/>
      <c r="H84" s="192"/>
      <c r="I84" s="192"/>
    </row>
    <row r="85" spans="1:9" x14ac:dyDescent="0.25">
      <c r="A85" s="191" t="s">
        <v>64</v>
      </c>
      <c r="B85" s="191"/>
      <c r="C85" s="191"/>
      <c r="D85" s="191"/>
      <c r="E85" s="191"/>
      <c r="F85" s="191"/>
      <c r="G85" s="191"/>
      <c r="H85" s="191"/>
      <c r="I85" s="191"/>
    </row>
    <row r="87" spans="1:9" x14ac:dyDescent="0.25">
      <c r="A87" s="189" t="s">
        <v>67</v>
      </c>
      <c r="B87" s="189"/>
      <c r="C87" s="172"/>
      <c r="D87" s="172"/>
      <c r="E87" s="172"/>
      <c r="F87" s="172"/>
      <c r="G87" s="172"/>
      <c r="H87" s="172"/>
      <c r="I87" s="172"/>
    </row>
    <row r="88" spans="1:9" x14ac:dyDescent="0.25">
      <c r="A88" s="172"/>
      <c r="B88" s="172"/>
      <c r="C88" s="172"/>
      <c r="D88" s="172"/>
      <c r="E88" s="172"/>
      <c r="F88" s="172"/>
      <c r="G88" s="172"/>
      <c r="H88" s="172"/>
      <c r="I88" s="172"/>
    </row>
    <row r="89" spans="1:9" x14ac:dyDescent="0.25">
      <c r="A89" s="205"/>
      <c r="B89" s="205"/>
      <c r="C89" s="205"/>
      <c r="D89" s="205"/>
      <c r="E89" s="205"/>
      <c r="F89" s="205"/>
      <c r="G89" s="205"/>
      <c r="H89" s="205"/>
      <c r="I89" s="205"/>
    </row>
  </sheetData>
  <mergeCells count="102">
    <mergeCell ref="A11:I11"/>
    <mergeCell ref="A12:I12"/>
    <mergeCell ref="A13:B13"/>
    <mergeCell ref="G13:I13"/>
    <mergeCell ref="A14:B14"/>
    <mergeCell ref="C15:E15"/>
    <mergeCell ref="A4:I4"/>
    <mergeCell ref="F5:I6"/>
    <mergeCell ref="F7:I7"/>
    <mergeCell ref="D8:I8"/>
    <mergeCell ref="A9:C9"/>
    <mergeCell ref="D9:I9"/>
    <mergeCell ref="B25:I25"/>
    <mergeCell ref="A27:I27"/>
    <mergeCell ref="A28:I28"/>
    <mergeCell ref="A29:I29"/>
    <mergeCell ref="A30:I30"/>
    <mergeCell ref="A31:I31"/>
    <mergeCell ref="A18:I18"/>
    <mergeCell ref="B20:I20"/>
    <mergeCell ref="B21:I21"/>
    <mergeCell ref="B22:I22"/>
    <mergeCell ref="B23:I23"/>
    <mergeCell ref="B24:I24"/>
    <mergeCell ref="A36:B36"/>
    <mergeCell ref="C36:E36"/>
    <mergeCell ref="G36:I36"/>
    <mergeCell ref="C37:E37"/>
    <mergeCell ref="G37:I37"/>
    <mergeCell ref="A38:B38"/>
    <mergeCell ref="C38:E38"/>
    <mergeCell ref="G38:I38"/>
    <mergeCell ref="A32:I32"/>
    <mergeCell ref="A33:I33"/>
    <mergeCell ref="A34:E34"/>
    <mergeCell ref="G34:I34"/>
    <mergeCell ref="A35:E35"/>
    <mergeCell ref="G35:I35"/>
    <mergeCell ref="I43:I44"/>
    <mergeCell ref="A44:B44"/>
    <mergeCell ref="C44:D44"/>
    <mergeCell ref="A45:B45"/>
    <mergeCell ref="C45:D45"/>
    <mergeCell ref="A48:I48"/>
    <mergeCell ref="C39:E39"/>
    <mergeCell ref="G39:I39"/>
    <mergeCell ref="F40:I40"/>
    <mergeCell ref="F41:I41"/>
    <mergeCell ref="A42:I42"/>
    <mergeCell ref="A43:D43"/>
    <mergeCell ref="E43:E44"/>
    <mergeCell ref="F43:F44"/>
    <mergeCell ref="G43:G44"/>
    <mergeCell ref="H43:H44"/>
    <mergeCell ref="A53:E53"/>
    <mergeCell ref="F53:I53"/>
    <mergeCell ref="F54:I54"/>
    <mergeCell ref="A55:E55"/>
    <mergeCell ref="F55:I55"/>
    <mergeCell ref="F56:I56"/>
    <mergeCell ref="A49:E49"/>
    <mergeCell ref="F49:I49"/>
    <mergeCell ref="F50:I50"/>
    <mergeCell ref="A51:E51"/>
    <mergeCell ref="F51:I51"/>
    <mergeCell ref="F52:I52"/>
    <mergeCell ref="B61:D61"/>
    <mergeCell ref="F61:I61"/>
    <mergeCell ref="B62:D62"/>
    <mergeCell ref="F62:I62"/>
    <mergeCell ref="A63:I63"/>
    <mergeCell ref="A64:I64"/>
    <mergeCell ref="A57:E57"/>
    <mergeCell ref="F57:I57"/>
    <mergeCell ref="F58:I58"/>
    <mergeCell ref="A59:G59"/>
    <mergeCell ref="H59:I59"/>
    <mergeCell ref="H60:I60"/>
    <mergeCell ref="E71:I71"/>
    <mergeCell ref="A73:B73"/>
    <mergeCell ref="C73:I73"/>
    <mergeCell ref="C74:I74"/>
    <mergeCell ref="A76:B76"/>
    <mergeCell ref="C76:I76"/>
    <mergeCell ref="A65:I65"/>
    <mergeCell ref="A66:I66"/>
    <mergeCell ref="A67:I67"/>
    <mergeCell ref="A68:I68"/>
    <mergeCell ref="A70:D70"/>
    <mergeCell ref="E70:I70"/>
    <mergeCell ref="A84:I84"/>
    <mergeCell ref="A85:I85"/>
    <mergeCell ref="A87:B87"/>
    <mergeCell ref="C87:I87"/>
    <mergeCell ref="A88:I88"/>
    <mergeCell ref="A89:I89"/>
    <mergeCell ref="C77:I77"/>
    <mergeCell ref="C78:I78"/>
    <mergeCell ref="C79:I79"/>
    <mergeCell ref="C80:I80"/>
    <mergeCell ref="C81:I81"/>
    <mergeCell ref="A83:C83"/>
  </mergeCells>
  <dataValidations count="5">
    <dataValidation type="list" allowBlank="1" showInputMessage="1" showErrorMessage="1" sqref="F40:I40" xr:uid="{00000000-0002-0000-0B00-000000000000}">
      <formula1>"выполнена, не выполнена"</formula1>
    </dataValidation>
    <dataValidation type="list" allowBlank="1" showInputMessage="1" showErrorMessage="1" sqref="F51:I51 F53:I53 F55:I55" xr:uid="{00000000-0002-0000-0B00-000001000000}">
      <formula1>"соответствует, не соотвествует"</formula1>
    </dataValidation>
    <dataValidation type="list" allowBlank="1" showInputMessage="1" showErrorMessage="1" sqref="F49:I49" xr:uid="{00000000-0002-0000-0B00-000002000000}">
      <formula1>"соответствуют, не соотвествуют"</formula1>
    </dataValidation>
    <dataValidation type="list" allowBlank="1" showInputMessage="1" showErrorMessage="1" sqref="H59:I59" xr:uid="{00000000-0002-0000-0B00-000003000000}">
      <formula1>"пригодной, непригодной"</formula1>
    </dataValidation>
    <dataValidation type="list" allowBlank="1" showInputMessage="1" showErrorMessage="1" sqref="B61:D61" xr:uid="{00000000-0002-0000-0B00-000004000000}">
      <formula1>"допущена, не допущена"</formula1>
    </dataValidation>
  </dataValidations>
  <pageMargins left="0.25" right="0.25" top="0.75" bottom="0.75" header="0.3" footer="0.3"/>
  <pageSetup paperSize="9" scale="98" orientation="portrait" r:id="rId1"/>
  <rowBreaks count="1" manualBreakCount="1">
    <brk id="39" max="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K89"/>
  <sheetViews>
    <sheetView tabSelected="1" view="pageBreakPreview" zoomScale="60" zoomScaleNormal="100" workbookViewId="0"/>
  </sheetViews>
  <sheetFormatPr defaultColWidth="9.109375" defaultRowHeight="13.8" x14ac:dyDescent="0.25"/>
  <cols>
    <col min="1" max="1" width="9.109375" style="8"/>
    <col min="2" max="2" width="7.44140625" style="8" customWidth="1"/>
    <col min="3" max="3" width="7.5546875" style="8" customWidth="1"/>
    <col min="4" max="4" width="8.33203125" style="8" customWidth="1"/>
    <col min="5" max="5" width="17.6640625" style="8" customWidth="1"/>
    <col min="6" max="6" width="14.44140625" style="8" customWidth="1"/>
    <col min="7" max="7" width="10.6640625" style="8" customWidth="1"/>
    <col min="8" max="8" width="11.44140625" style="8" customWidth="1"/>
    <col min="9" max="9" width="11.6640625" style="8" customWidth="1"/>
    <col min="10" max="10" width="9.109375" style="8"/>
    <col min="11" max="11" width="11.109375" style="8" customWidth="1"/>
    <col min="12" max="16384" width="9.109375" style="8"/>
  </cols>
  <sheetData>
    <row r="1" spans="1:11" x14ac:dyDescent="0.25">
      <c r="H1" s="8" t="s">
        <v>5</v>
      </c>
    </row>
    <row r="2" spans="1:11" x14ac:dyDescent="0.25">
      <c r="H2" s="8" t="s">
        <v>6</v>
      </c>
    </row>
    <row r="3" spans="1:11" ht="5.25" customHeight="1" x14ac:dyDescent="0.25">
      <c r="K3" s="76"/>
    </row>
    <row r="4" spans="1:11" ht="14.4" thickBot="1" x14ac:dyDescent="0.3">
      <c r="A4" s="180" t="s">
        <v>7</v>
      </c>
      <c r="B4" s="180"/>
      <c r="C4" s="180"/>
      <c r="D4" s="180"/>
      <c r="E4" s="180"/>
      <c r="F4" s="180"/>
      <c r="G4" s="180"/>
      <c r="H4" s="180"/>
      <c r="I4" s="180"/>
      <c r="K4" s="77" t="str">
        <f ca="1">MID(CELL("имяфайла",A1),SEARCH("]",CELL("имяфайла",A1))+1,LEN(CELL("имяфайла",A1)))</f>
        <v>АВК 11</v>
      </c>
    </row>
    <row r="5" spans="1:11" ht="10.5" customHeight="1" x14ac:dyDescent="0.25">
      <c r="F5" s="181" t="s">
        <v>95</v>
      </c>
      <c r="G5" s="182"/>
      <c r="H5" s="182"/>
      <c r="I5" s="183"/>
      <c r="K5" s="78">
        <f ca="1">RIGHT(K4,LEN(K4)-4)+2</f>
        <v>13</v>
      </c>
    </row>
    <row r="6" spans="1:11" ht="14.4" thickBot="1" x14ac:dyDescent="0.3">
      <c r="F6" s="184"/>
      <c r="G6" s="185"/>
      <c r="H6" s="185"/>
      <c r="I6" s="186"/>
      <c r="K6" s="79"/>
    </row>
    <row r="7" spans="1:11" x14ac:dyDescent="0.25">
      <c r="F7" s="187" t="s">
        <v>8</v>
      </c>
      <c r="G7" s="187"/>
      <c r="H7" s="187"/>
      <c r="I7" s="187"/>
    </row>
    <row r="8" spans="1:11" ht="46.8" customHeight="1" x14ac:dyDescent="0.25">
      <c r="A8" s="8" t="s">
        <v>9</v>
      </c>
      <c r="D8" s="188" t="str">
        <f>'Жвх.к (т)'!C17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E8" s="188"/>
      <c r="F8" s="188"/>
      <c r="G8" s="188"/>
      <c r="H8" s="188"/>
      <c r="I8" s="188"/>
    </row>
    <row r="9" spans="1:11" x14ac:dyDescent="0.25">
      <c r="A9" s="189" t="s">
        <v>10</v>
      </c>
      <c r="B9" s="189"/>
      <c r="C9" s="189"/>
      <c r="D9" s="190" t="s">
        <v>96</v>
      </c>
      <c r="E9" s="190"/>
      <c r="F9" s="190"/>
      <c r="G9" s="190"/>
      <c r="H9" s="190"/>
      <c r="I9" s="190"/>
    </row>
    <row r="11" spans="1:11" x14ac:dyDescent="0.25">
      <c r="A11" s="180" t="str">
        <f ca="1">CONCATENATE("АКТ № ",INDIRECT("'Форма журнала'!R"&amp;K5&amp;"C2",0))</f>
        <v>АКТ № 7</v>
      </c>
      <c r="B11" s="180"/>
      <c r="C11" s="180"/>
      <c r="D11" s="180"/>
      <c r="E11" s="180"/>
      <c r="F11" s="180"/>
      <c r="G11" s="180"/>
      <c r="H11" s="180"/>
      <c r="I11" s="180"/>
    </row>
    <row r="12" spans="1:11" x14ac:dyDescent="0.25">
      <c r="A12" s="180" t="s">
        <v>11</v>
      </c>
      <c r="B12" s="180"/>
      <c r="C12" s="180"/>
      <c r="D12" s="180"/>
      <c r="E12" s="180"/>
      <c r="F12" s="180"/>
      <c r="G12" s="180"/>
      <c r="H12" s="180"/>
      <c r="I12" s="180"/>
    </row>
    <row r="13" spans="1:11" x14ac:dyDescent="0.25">
      <c r="A13" s="172"/>
      <c r="B13" s="172"/>
      <c r="G13" s="193">
        <f ca="1">INDIRECT("'Форма журнала'!R"&amp;K5&amp;"C3",0)</f>
        <v>45607</v>
      </c>
      <c r="H13" s="193"/>
      <c r="I13" s="193"/>
    </row>
    <row r="14" spans="1:11" x14ac:dyDescent="0.25">
      <c r="A14" s="191" t="s">
        <v>12</v>
      </c>
      <c r="B14" s="191"/>
    </row>
    <row r="15" spans="1:11" x14ac:dyDescent="0.25">
      <c r="A15" s="8" t="s">
        <v>13</v>
      </c>
      <c r="C15" s="192" t="str">
        <f>'Жвх.к (т)'!B7</f>
        <v>ООО «СЭТ»</v>
      </c>
      <c r="D15" s="192"/>
      <c r="E15" s="192"/>
      <c r="F15" s="41" t="s">
        <v>523</v>
      </c>
      <c r="G15" s="41"/>
      <c r="H15" s="41"/>
      <c r="I15" s="41"/>
    </row>
    <row r="16" spans="1:11" x14ac:dyDescent="0.25">
      <c r="C16" s="19" t="s">
        <v>22</v>
      </c>
    </row>
    <row r="17" spans="1:9" x14ac:dyDescent="0.25">
      <c r="A17" s="8" t="s">
        <v>34</v>
      </c>
      <c r="C17" s="19"/>
    </row>
    <row r="18" spans="1:9" ht="30.75" customHeight="1" x14ac:dyDescent="0.3">
      <c r="A18" s="179" t="str">
        <f>CONCATENATE(ПОДПИСИ!B7," ",ПОДПИСИ!C7)</f>
        <v>Директор по строительству ООО «СЭТ» Потоцкий А.А.</v>
      </c>
      <c r="B18" s="179"/>
      <c r="C18" s="179"/>
      <c r="D18" s="179"/>
      <c r="E18" s="179"/>
      <c r="F18" s="179"/>
      <c r="G18" s="179"/>
      <c r="H18" s="179"/>
      <c r="I18" s="179"/>
    </row>
    <row r="19" spans="1:9" x14ac:dyDescent="0.25">
      <c r="A19" s="8" t="s">
        <v>23</v>
      </c>
    </row>
    <row r="20" spans="1:9" x14ac:dyDescent="0.25">
      <c r="B20" s="174" t="str">
        <f>CONCATENATE(ПОДПИСИ!B9," ",ПОДПИСИ!C9)</f>
        <v>Начальник участка ООО «СЭТ» Нугуманов М.А.</v>
      </c>
      <c r="C20" s="174"/>
      <c r="D20" s="174"/>
      <c r="E20" s="174"/>
      <c r="F20" s="174"/>
      <c r="G20" s="174"/>
      <c r="H20" s="174"/>
      <c r="I20" s="174"/>
    </row>
    <row r="21" spans="1:9" ht="9" customHeight="1" x14ac:dyDescent="0.25">
      <c r="B21" s="173" t="s">
        <v>24</v>
      </c>
      <c r="C21" s="173"/>
      <c r="D21" s="173"/>
      <c r="E21" s="173"/>
      <c r="F21" s="173"/>
      <c r="G21" s="173"/>
      <c r="H21" s="173"/>
      <c r="I21" s="173"/>
    </row>
    <row r="22" spans="1:9" ht="30.75" customHeight="1" x14ac:dyDescent="0.25">
      <c r="B22" s="174" t="str">
        <f>CONCATENATE(ПОДПИСИ!B11," ",ПОДПИСИ!C11)</f>
        <v>Ведущий инженер строительного контроля ООО «СЭТ» Кольцов А.Г.</v>
      </c>
      <c r="C22" s="174"/>
      <c r="D22" s="174"/>
      <c r="E22" s="174"/>
      <c r="F22" s="174"/>
      <c r="G22" s="174"/>
      <c r="H22" s="174"/>
      <c r="I22" s="174"/>
    </row>
    <row r="23" spans="1:9" ht="11.25" customHeight="1" x14ac:dyDescent="0.25">
      <c r="B23" s="173" t="s">
        <v>24</v>
      </c>
      <c r="C23" s="173"/>
      <c r="D23" s="173"/>
      <c r="E23" s="173"/>
      <c r="F23" s="173"/>
      <c r="G23" s="173"/>
      <c r="H23" s="173"/>
      <c r="I23" s="173"/>
    </row>
    <row r="24" spans="1:9" x14ac:dyDescent="0.25">
      <c r="B24" s="172"/>
      <c r="C24" s="172"/>
      <c r="D24" s="172"/>
      <c r="E24" s="172"/>
      <c r="F24" s="172"/>
      <c r="G24" s="172"/>
      <c r="H24" s="172"/>
      <c r="I24" s="172"/>
    </row>
    <row r="25" spans="1:9" ht="10.5" customHeight="1" x14ac:dyDescent="0.25">
      <c r="B25" s="173" t="s">
        <v>24</v>
      </c>
      <c r="C25" s="173"/>
      <c r="D25" s="173"/>
      <c r="E25" s="173"/>
      <c r="F25" s="173"/>
      <c r="G25" s="173"/>
      <c r="H25" s="173"/>
      <c r="I25" s="173"/>
    </row>
    <row r="26" spans="1:9" x14ac:dyDescent="0.25">
      <c r="A26" s="8" t="s">
        <v>25</v>
      </c>
    </row>
    <row r="27" spans="1:9" ht="44.25" customHeight="1" x14ac:dyDescent="0.25">
      <c r="A27" s="174" t="s">
        <v>102</v>
      </c>
      <c r="B27" s="174"/>
      <c r="C27" s="174"/>
      <c r="D27" s="174"/>
      <c r="E27" s="174"/>
      <c r="F27" s="174"/>
      <c r="G27" s="174"/>
      <c r="H27" s="174"/>
      <c r="I27" s="174"/>
    </row>
    <row r="28" spans="1:9" x14ac:dyDescent="0.25">
      <c r="A28" s="175" t="s">
        <v>26</v>
      </c>
      <c r="B28" s="175"/>
      <c r="C28" s="175"/>
      <c r="D28" s="175"/>
      <c r="E28" s="175"/>
      <c r="F28" s="175"/>
      <c r="G28" s="175"/>
      <c r="H28" s="175"/>
      <c r="I28" s="175"/>
    </row>
    <row r="29" spans="1:9" x14ac:dyDescent="0.25">
      <c r="A29" s="176" t="s">
        <v>27</v>
      </c>
      <c r="B29" s="176"/>
      <c r="C29" s="176"/>
      <c r="D29" s="176"/>
      <c r="E29" s="176"/>
      <c r="F29" s="176"/>
      <c r="G29" s="176"/>
      <c r="H29" s="176"/>
      <c r="I29" s="176"/>
    </row>
    <row r="30" spans="1:9" x14ac:dyDescent="0.25">
      <c r="A30" s="177" t="s">
        <v>28</v>
      </c>
      <c r="B30" s="177"/>
      <c r="C30" s="177"/>
      <c r="D30" s="177"/>
      <c r="E30" s="177"/>
      <c r="F30" s="177"/>
      <c r="G30" s="177"/>
      <c r="H30" s="177"/>
      <c r="I30" s="177"/>
    </row>
    <row r="31" spans="1:9" x14ac:dyDescent="0.25">
      <c r="A31" s="174" t="str">
        <f ca="1">INDIRECT("'Форма журнала'!R"&amp;K5&amp;"C4",0)</f>
        <v>Траверса ТМ65</v>
      </c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5" t="s">
        <v>29</v>
      </c>
      <c r="B32" s="175"/>
      <c r="C32" s="175"/>
      <c r="D32" s="175"/>
      <c r="E32" s="175"/>
      <c r="F32" s="175"/>
      <c r="G32" s="175"/>
      <c r="H32" s="175"/>
      <c r="I32" s="175"/>
    </row>
    <row r="33" spans="1:11" x14ac:dyDescent="0.25">
      <c r="A33" s="178" t="s">
        <v>30</v>
      </c>
      <c r="B33" s="178"/>
      <c r="C33" s="178"/>
      <c r="D33" s="178"/>
      <c r="E33" s="178"/>
      <c r="F33" s="178"/>
      <c r="G33" s="178"/>
      <c r="H33" s="178"/>
      <c r="I33" s="178"/>
    </row>
    <row r="34" spans="1:11" x14ac:dyDescent="0.25">
      <c r="A34" s="194" t="str">
        <f ca="1">INDIRECT("'Форма журнала'!R"&amp;K5&amp;"C7",0)</f>
        <v>Сертификат соответствия №РОСС RU.НЕ06.Н05218 от 12.04.2023 сроком действия до 11.04.2026</v>
      </c>
      <c r="B34" s="194"/>
      <c r="C34" s="194"/>
      <c r="D34" s="194"/>
      <c r="E34" s="194"/>
      <c r="F34" s="20" t="s">
        <v>31</v>
      </c>
      <c r="G34" s="195"/>
      <c r="H34" s="195"/>
      <c r="I34" s="195"/>
    </row>
    <row r="35" spans="1:11" x14ac:dyDescent="0.25">
      <c r="A35" s="175" t="s">
        <v>33</v>
      </c>
      <c r="B35" s="175"/>
      <c r="C35" s="175"/>
      <c r="D35" s="175"/>
      <c r="E35" s="175"/>
      <c r="F35" s="21"/>
      <c r="G35" s="175" t="s">
        <v>32</v>
      </c>
      <c r="H35" s="175"/>
      <c r="I35" s="175"/>
    </row>
    <row r="36" spans="1:11" x14ac:dyDescent="0.25">
      <c r="A36" s="177" t="s">
        <v>104</v>
      </c>
      <c r="B36" s="177"/>
      <c r="C36" s="192" t="str">
        <f ca="1">INDIRECT("'Форма журнала'!R"&amp;K5&amp;"C5",0)</f>
        <v>6 шт.</v>
      </c>
      <c r="D36" s="192"/>
      <c r="E36" s="192"/>
      <c r="F36" s="26" t="s">
        <v>68</v>
      </c>
      <c r="G36" s="196"/>
      <c r="H36" s="196"/>
      <c r="I36" s="196"/>
    </row>
    <row r="37" spans="1:11" x14ac:dyDescent="0.25">
      <c r="A37" s="21"/>
      <c r="B37" s="21"/>
      <c r="C37" s="175" t="s">
        <v>35</v>
      </c>
      <c r="D37" s="175"/>
      <c r="E37" s="175"/>
      <c r="F37" s="21"/>
      <c r="G37" s="191" t="s">
        <v>36</v>
      </c>
      <c r="H37" s="191"/>
      <c r="I37" s="191"/>
    </row>
    <row r="38" spans="1:11" x14ac:dyDescent="0.25">
      <c r="A38" s="177" t="s">
        <v>37</v>
      </c>
      <c r="B38" s="177"/>
      <c r="C38" s="174" t="str">
        <f ca="1">INDIRECT("'Форма журнала'!R"&amp;K5&amp;"C6",0)</f>
        <v>ООО "НИЛЕД"</v>
      </c>
      <c r="D38" s="174"/>
      <c r="E38" s="174"/>
      <c r="F38" s="20" t="s">
        <v>38</v>
      </c>
      <c r="G38" s="195"/>
      <c r="H38" s="195"/>
      <c r="I38" s="195"/>
      <c r="K38" s="28"/>
    </row>
    <row r="39" spans="1:11" x14ac:dyDescent="0.25">
      <c r="A39" s="22"/>
      <c r="B39" s="22"/>
      <c r="C39" s="175" t="s">
        <v>39</v>
      </c>
      <c r="D39" s="175"/>
      <c r="E39" s="175"/>
      <c r="F39" s="20"/>
      <c r="G39" s="191" t="s">
        <v>40</v>
      </c>
      <c r="H39" s="191"/>
      <c r="I39" s="191"/>
    </row>
    <row r="40" spans="1:11" x14ac:dyDescent="0.25">
      <c r="A40" s="22" t="s">
        <v>41</v>
      </c>
      <c r="B40" s="22"/>
      <c r="C40" s="21"/>
      <c r="D40" s="21"/>
      <c r="E40" s="21"/>
      <c r="F40" s="197" t="s">
        <v>101</v>
      </c>
      <c r="G40" s="197"/>
      <c r="H40" s="197"/>
      <c r="I40" s="197"/>
    </row>
    <row r="41" spans="1:11" x14ac:dyDescent="0.25">
      <c r="F41" s="198" t="s">
        <v>42</v>
      </c>
      <c r="G41" s="198"/>
      <c r="H41" s="198"/>
      <c r="I41" s="198"/>
    </row>
    <row r="42" spans="1:11" x14ac:dyDescent="0.25">
      <c r="A42" s="199" t="s">
        <v>43</v>
      </c>
      <c r="B42" s="199"/>
      <c r="C42" s="199"/>
      <c r="D42" s="199"/>
      <c r="E42" s="199"/>
      <c r="F42" s="199"/>
      <c r="G42" s="199"/>
      <c r="H42" s="199"/>
      <c r="I42" s="199"/>
    </row>
    <row r="43" spans="1:11" ht="30" customHeight="1" x14ac:dyDescent="0.25">
      <c r="A43" s="202" t="s">
        <v>14</v>
      </c>
      <c r="B43" s="202"/>
      <c r="C43" s="202"/>
      <c r="D43" s="202"/>
      <c r="E43" s="202" t="s">
        <v>17</v>
      </c>
      <c r="F43" s="202" t="s">
        <v>18</v>
      </c>
      <c r="G43" s="202" t="s">
        <v>19</v>
      </c>
      <c r="H43" s="202" t="s">
        <v>20</v>
      </c>
      <c r="I43" s="202" t="s">
        <v>21</v>
      </c>
    </row>
    <row r="44" spans="1:11" ht="32.25" customHeight="1" x14ac:dyDescent="0.25">
      <c r="A44" s="202" t="s">
        <v>15</v>
      </c>
      <c r="B44" s="202"/>
      <c r="C44" s="202" t="s">
        <v>16</v>
      </c>
      <c r="D44" s="202"/>
      <c r="E44" s="202"/>
      <c r="F44" s="202"/>
      <c r="G44" s="202"/>
      <c r="H44" s="202"/>
      <c r="I44" s="202"/>
    </row>
    <row r="45" spans="1:11" x14ac:dyDescent="0.25">
      <c r="A45" s="201">
        <v>1</v>
      </c>
      <c r="B45" s="201"/>
      <c r="C45" s="201">
        <v>2</v>
      </c>
      <c r="D45" s="201"/>
      <c r="E45" s="23">
        <v>3</v>
      </c>
      <c r="F45" s="23">
        <v>4</v>
      </c>
      <c r="G45" s="23">
        <v>5</v>
      </c>
      <c r="H45" s="23">
        <v>6</v>
      </c>
      <c r="I45" s="23">
        <v>7</v>
      </c>
    </row>
    <row r="46" spans="1:11" x14ac:dyDescent="0.25">
      <c r="A46" s="24" t="str">
        <f ca="1">C36</f>
        <v>6 шт.</v>
      </c>
      <c r="B46" s="24"/>
      <c r="C46" s="24"/>
      <c r="D46" s="24"/>
      <c r="E46" s="24"/>
      <c r="F46" s="24"/>
      <c r="G46" s="24"/>
      <c r="H46" s="24"/>
      <c r="I46" s="24" t="s">
        <v>127</v>
      </c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00" t="s">
        <v>44</v>
      </c>
      <c r="B48" s="200"/>
      <c r="C48" s="200"/>
      <c r="D48" s="200"/>
      <c r="E48" s="200"/>
      <c r="F48" s="200"/>
      <c r="G48" s="200"/>
      <c r="H48" s="200"/>
      <c r="I48" s="200"/>
    </row>
    <row r="49" spans="1:9" x14ac:dyDescent="0.25">
      <c r="A49" s="189" t="s">
        <v>45</v>
      </c>
      <c r="B49" s="189"/>
      <c r="C49" s="189"/>
      <c r="D49" s="189"/>
      <c r="E49" s="189"/>
      <c r="F49" s="192" t="s">
        <v>97</v>
      </c>
      <c r="G49" s="192"/>
      <c r="H49" s="192"/>
      <c r="I49" s="192"/>
    </row>
    <row r="50" spans="1:9" ht="10.5" customHeight="1" x14ac:dyDescent="0.25">
      <c r="A50" s="25"/>
      <c r="B50" s="25"/>
      <c r="C50" s="25"/>
      <c r="D50" s="25"/>
      <c r="E50" s="25"/>
      <c r="F50" s="198" t="s">
        <v>47</v>
      </c>
      <c r="G50" s="198"/>
      <c r="H50" s="198"/>
      <c r="I50" s="198"/>
    </row>
    <row r="51" spans="1:9" ht="15" customHeight="1" x14ac:dyDescent="0.25">
      <c r="A51" s="189" t="s">
        <v>46</v>
      </c>
      <c r="B51" s="189"/>
      <c r="C51" s="189"/>
      <c r="D51" s="189"/>
      <c r="E51" s="189"/>
      <c r="F51" s="192" t="s">
        <v>95</v>
      </c>
      <c r="G51" s="192"/>
      <c r="H51" s="192"/>
      <c r="I51" s="192"/>
    </row>
    <row r="52" spans="1:9" ht="12.75" customHeight="1" x14ac:dyDescent="0.25">
      <c r="F52" s="198" t="s">
        <v>48</v>
      </c>
      <c r="G52" s="198"/>
      <c r="H52" s="198"/>
      <c r="I52" s="198"/>
    </row>
    <row r="53" spans="1:9" x14ac:dyDescent="0.25">
      <c r="A53" s="189" t="s">
        <v>49</v>
      </c>
      <c r="B53" s="189"/>
      <c r="C53" s="189"/>
      <c r="D53" s="189"/>
      <c r="E53" s="189"/>
      <c r="F53" s="192" t="s">
        <v>95</v>
      </c>
      <c r="G53" s="192"/>
      <c r="H53" s="192"/>
      <c r="I53" s="192"/>
    </row>
    <row r="54" spans="1:9" ht="11.25" customHeight="1" x14ac:dyDescent="0.25">
      <c r="F54" s="198" t="s">
        <v>48</v>
      </c>
      <c r="G54" s="198"/>
      <c r="H54" s="198"/>
      <c r="I54" s="198"/>
    </row>
    <row r="55" spans="1:9" x14ac:dyDescent="0.25">
      <c r="A55" s="189" t="s">
        <v>50</v>
      </c>
      <c r="B55" s="189"/>
      <c r="C55" s="189"/>
      <c r="D55" s="189"/>
      <c r="E55" s="189"/>
      <c r="F55" s="192" t="s">
        <v>95</v>
      </c>
      <c r="G55" s="192"/>
      <c r="H55" s="192"/>
      <c r="I55" s="192"/>
    </row>
    <row r="56" spans="1:9" ht="10.5" customHeight="1" x14ac:dyDescent="0.25">
      <c r="F56" s="198" t="s">
        <v>48</v>
      </c>
      <c r="G56" s="198"/>
      <c r="H56" s="198"/>
      <c r="I56" s="198"/>
    </row>
    <row r="57" spans="1:9" ht="15" customHeight="1" x14ac:dyDescent="0.25">
      <c r="A57" s="189" t="s">
        <v>51</v>
      </c>
      <c r="B57" s="189"/>
      <c r="C57" s="189"/>
      <c r="D57" s="189"/>
      <c r="E57" s="189"/>
      <c r="F57" s="192" t="str">
        <f ca="1">IF(OR(INDIRECT("'Форма журнала'!R"&amp;K5&amp;"C13",0)="",INDIRECT("'Форма журнала'!R"&amp;K5&amp;"C13",0)=0),"отсутствует",INDIRECT("'Форма журнала'!R"&amp;K5&amp;"C13",0))</f>
        <v>Отсутствует</v>
      </c>
      <c r="G57" s="192"/>
      <c r="H57" s="192"/>
      <c r="I57" s="192"/>
    </row>
    <row r="58" spans="1:9" ht="9.75" customHeight="1" x14ac:dyDescent="0.25">
      <c r="F58" s="198" t="s">
        <v>48</v>
      </c>
      <c r="G58" s="198"/>
      <c r="H58" s="198"/>
      <c r="I58" s="198"/>
    </row>
    <row r="59" spans="1:9" x14ac:dyDescent="0.25">
      <c r="A59" s="189" t="s">
        <v>52</v>
      </c>
      <c r="B59" s="189"/>
      <c r="C59" s="189"/>
      <c r="D59" s="189"/>
      <c r="E59" s="189"/>
      <c r="F59" s="189"/>
      <c r="G59" s="189"/>
      <c r="H59" s="192" t="s">
        <v>98</v>
      </c>
      <c r="I59" s="192"/>
    </row>
    <row r="60" spans="1:9" x14ac:dyDescent="0.25">
      <c r="H60" s="203" t="s">
        <v>53</v>
      </c>
      <c r="I60" s="203"/>
    </row>
    <row r="61" spans="1:9" x14ac:dyDescent="0.25">
      <c r="A61" s="8" t="s">
        <v>54</v>
      </c>
      <c r="B61" s="192" t="s">
        <v>99</v>
      </c>
      <c r="C61" s="192"/>
      <c r="D61" s="192"/>
      <c r="E61" s="8" t="s">
        <v>55</v>
      </c>
      <c r="F61" s="192" t="s">
        <v>100</v>
      </c>
      <c r="G61" s="192"/>
      <c r="H61" s="192"/>
      <c r="I61" s="192"/>
    </row>
    <row r="62" spans="1:9" x14ac:dyDescent="0.25">
      <c r="B62" s="203" t="s">
        <v>57</v>
      </c>
      <c r="C62" s="203"/>
      <c r="D62" s="203"/>
      <c r="F62" s="198" t="s">
        <v>56</v>
      </c>
      <c r="G62" s="198"/>
      <c r="H62" s="198"/>
      <c r="I62" s="198"/>
    </row>
    <row r="63" spans="1:9" x14ac:dyDescent="0.25">
      <c r="A63" s="189" t="s">
        <v>58</v>
      </c>
      <c r="B63" s="189"/>
      <c r="C63" s="189"/>
      <c r="D63" s="189"/>
      <c r="E63" s="189"/>
      <c r="F63" s="189"/>
      <c r="G63" s="189"/>
      <c r="H63" s="189"/>
      <c r="I63" s="189"/>
    </row>
    <row r="64" spans="1:9" x14ac:dyDescent="0.25">
      <c r="A64" s="172"/>
      <c r="B64" s="172"/>
      <c r="C64" s="172"/>
      <c r="D64" s="172"/>
      <c r="E64" s="172"/>
      <c r="F64" s="172"/>
      <c r="G64" s="172"/>
      <c r="H64" s="172"/>
      <c r="I64" s="172"/>
    </row>
    <row r="65" spans="1:9" ht="11.25" customHeight="1" x14ac:dyDescent="0.25">
      <c r="A65" s="198" t="s">
        <v>59</v>
      </c>
      <c r="B65" s="198"/>
      <c r="C65" s="198"/>
      <c r="D65" s="198"/>
      <c r="E65" s="198"/>
      <c r="F65" s="198"/>
      <c r="G65" s="198"/>
      <c r="H65" s="198"/>
      <c r="I65" s="198"/>
    </row>
    <row r="66" spans="1:9" x14ac:dyDescent="0.25">
      <c r="A66" s="172"/>
      <c r="B66" s="172"/>
      <c r="C66" s="172"/>
      <c r="D66" s="172"/>
      <c r="E66" s="172"/>
      <c r="F66" s="172"/>
      <c r="G66" s="172"/>
      <c r="H66" s="172"/>
      <c r="I66" s="172"/>
    </row>
    <row r="67" spans="1:9" ht="12" customHeight="1" x14ac:dyDescent="0.25">
      <c r="A67" s="198" t="s">
        <v>60</v>
      </c>
      <c r="B67" s="198"/>
      <c r="C67" s="198"/>
      <c r="D67" s="198"/>
      <c r="E67" s="198"/>
      <c r="F67" s="198"/>
      <c r="G67" s="198"/>
      <c r="H67" s="198"/>
      <c r="I67" s="198"/>
    </row>
    <row r="68" spans="1:9" x14ac:dyDescent="0.25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ht="8.25" customHeight="1" x14ac:dyDescent="0.25"/>
    <row r="70" spans="1:9" x14ac:dyDescent="0.25">
      <c r="A70" s="204" t="s">
        <v>61</v>
      </c>
      <c r="B70" s="204"/>
      <c r="C70" s="204"/>
      <c r="D70" s="204"/>
      <c r="E70" s="172"/>
      <c r="F70" s="172"/>
      <c r="G70" s="172"/>
      <c r="H70" s="172"/>
      <c r="I70" s="172"/>
    </row>
    <row r="71" spans="1:9" ht="12.75" customHeight="1" x14ac:dyDescent="0.25">
      <c r="E71" s="198" t="s">
        <v>62</v>
      </c>
      <c r="F71" s="198"/>
      <c r="G71" s="198"/>
      <c r="H71" s="198"/>
      <c r="I71" s="198"/>
    </row>
    <row r="73" spans="1:9" ht="28.5" customHeight="1" x14ac:dyDescent="0.25">
      <c r="A73" s="189" t="s">
        <v>63</v>
      </c>
      <c r="B73" s="189"/>
      <c r="C73" s="174" t="str">
        <f>A18</f>
        <v>Директор по строительству ООО «СЭТ» Потоцкий А.А.</v>
      </c>
      <c r="D73" s="174"/>
      <c r="E73" s="174"/>
      <c r="F73" s="174"/>
      <c r="G73" s="174"/>
      <c r="H73" s="174"/>
      <c r="I73" s="174"/>
    </row>
    <row r="74" spans="1:9" ht="12" customHeight="1" x14ac:dyDescent="0.25">
      <c r="C74" s="198" t="s">
        <v>64</v>
      </c>
      <c r="D74" s="198"/>
      <c r="E74" s="198"/>
      <c r="F74" s="198"/>
      <c r="G74" s="198"/>
      <c r="H74" s="198"/>
      <c r="I74" s="198"/>
    </row>
    <row r="76" spans="1:9" x14ac:dyDescent="0.25">
      <c r="A76" s="189" t="s">
        <v>65</v>
      </c>
      <c r="B76" s="189"/>
      <c r="C76" s="174" t="str">
        <f>B20</f>
        <v>Начальник участка ООО «СЭТ» Нугуманов М.А.</v>
      </c>
      <c r="D76" s="174"/>
      <c r="E76" s="174"/>
      <c r="F76" s="174"/>
      <c r="G76" s="174"/>
      <c r="H76" s="174"/>
      <c r="I76" s="174"/>
    </row>
    <row r="77" spans="1:9" ht="11.25" customHeight="1" x14ac:dyDescent="0.25">
      <c r="C77" s="173" t="s">
        <v>64</v>
      </c>
      <c r="D77" s="173"/>
      <c r="E77" s="173"/>
      <c r="F77" s="173"/>
      <c r="G77" s="173"/>
      <c r="H77" s="173"/>
      <c r="I77" s="173"/>
    </row>
    <row r="78" spans="1:9" ht="28.5" customHeight="1" x14ac:dyDescent="0.25">
      <c r="C78" s="174" t="str">
        <f>B22</f>
        <v>Ведущий инженер строительного контроля ООО «СЭТ» Кольцов А.Г.</v>
      </c>
      <c r="D78" s="174"/>
      <c r="E78" s="174"/>
      <c r="F78" s="174"/>
      <c r="G78" s="174"/>
      <c r="H78" s="174"/>
      <c r="I78" s="174"/>
    </row>
    <row r="79" spans="1:9" ht="12" customHeight="1" x14ac:dyDescent="0.25">
      <c r="C79" s="173" t="s">
        <v>64</v>
      </c>
      <c r="D79" s="173"/>
      <c r="E79" s="173"/>
      <c r="F79" s="173"/>
      <c r="G79" s="173"/>
      <c r="H79" s="173"/>
      <c r="I79" s="173"/>
    </row>
    <row r="80" spans="1:9" x14ac:dyDescent="0.25">
      <c r="C80" s="172"/>
      <c r="D80" s="172"/>
      <c r="E80" s="172"/>
      <c r="F80" s="172"/>
      <c r="G80" s="172"/>
      <c r="H80" s="172"/>
      <c r="I80" s="172"/>
    </row>
    <row r="81" spans="1:9" x14ac:dyDescent="0.25">
      <c r="C81" s="173" t="s">
        <v>64</v>
      </c>
      <c r="D81" s="173"/>
      <c r="E81" s="173"/>
      <c r="F81" s="173"/>
      <c r="G81" s="173"/>
      <c r="H81" s="173"/>
      <c r="I81" s="173"/>
    </row>
    <row r="83" spans="1:9" x14ac:dyDescent="0.25">
      <c r="A83" s="189" t="s">
        <v>66</v>
      </c>
      <c r="B83" s="189"/>
      <c r="C83" s="189"/>
    </row>
    <row r="84" spans="1:9" x14ac:dyDescent="0.25">
      <c r="A84" s="192" t="str">
        <f>CONCATENATE(ПОДПИСИ!B13," ",ПОДПИСИ!C13)</f>
        <v>Ведущий инженер отдела строительного контроля АО "ЛЭСР" Сафуанова В.А.</v>
      </c>
      <c r="B84" s="192"/>
      <c r="C84" s="192"/>
      <c r="D84" s="192"/>
      <c r="E84" s="192"/>
      <c r="F84" s="192"/>
      <c r="G84" s="192"/>
      <c r="H84" s="192"/>
      <c r="I84" s="192"/>
    </row>
    <row r="85" spans="1:9" x14ac:dyDescent="0.25">
      <c r="A85" s="191" t="s">
        <v>64</v>
      </c>
      <c r="B85" s="191"/>
      <c r="C85" s="191"/>
      <c r="D85" s="191"/>
      <c r="E85" s="191"/>
      <c r="F85" s="191"/>
      <c r="G85" s="191"/>
      <c r="H85" s="191"/>
      <c r="I85" s="191"/>
    </row>
    <row r="87" spans="1:9" x14ac:dyDescent="0.25">
      <c r="A87" s="189" t="s">
        <v>67</v>
      </c>
      <c r="B87" s="189"/>
      <c r="C87" s="172"/>
      <c r="D87" s="172"/>
      <c r="E87" s="172"/>
      <c r="F87" s="172"/>
      <c r="G87" s="172"/>
      <c r="H87" s="172"/>
      <c r="I87" s="172"/>
    </row>
    <row r="88" spans="1:9" x14ac:dyDescent="0.25">
      <c r="A88" s="172"/>
      <c r="B88" s="172"/>
      <c r="C88" s="172"/>
      <c r="D88" s="172"/>
      <c r="E88" s="172"/>
      <c r="F88" s="172"/>
      <c r="G88" s="172"/>
      <c r="H88" s="172"/>
      <c r="I88" s="172"/>
    </row>
    <row r="89" spans="1:9" x14ac:dyDescent="0.25">
      <c r="A89" s="205"/>
      <c r="B89" s="205"/>
      <c r="C89" s="205"/>
      <c r="D89" s="205"/>
      <c r="E89" s="205"/>
      <c r="F89" s="205"/>
      <c r="G89" s="205"/>
      <c r="H89" s="205"/>
      <c r="I89" s="205"/>
    </row>
  </sheetData>
  <mergeCells count="102">
    <mergeCell ref="A11:I11"/>
    <mergeCell ref="A12:I12"/>
    <mergeCell ref="A13:B13"/>
    <mergeCell ref="G13:I13"/>
    <mergeCell ref="A14:B14"/>
    <mergeCell ref="C15:E15"/>
    <mergeCell ref="A4:I4"/>
    <mergeCell ref="F5:I6"/>
    <mergeCell ref="F7:I7"/>
    <mergeCell ref="D8:I8"/>
    <mergeCell ref="A9:C9"/>
    <mergeCell ref="D9:I9"/>
    <mergeCell ref="B25:I25"/>
    <mergeCell ref="A27:I27"/>
    <mergeCell ref="A28:I28"/>
    <mergeCell ref="A29:I29"/>
    <mergeCell ref="A30:I30"/>
    <mergeCell ref="A31:I31"/>
    <mergeCell ref="A18:I18"/>
    <mergeCell ref="B20:I20"/>
    <mergeCell ref="B21:I21"/>
    <mergeCell ref="B22:I22"/>
    <mergeCell ref="B23:I23"/>
    <mergeCell ref="B24:I24"/>
    <mergeCell ref="A36:B36"/>
    <mergeCell ref="C36:E36"/>
    <mergeCell ref="G36:I36"/>
    <mergeCell ref="C37:E37"/>
    <mergeCell ref="G37:I37"/>
    <mergeCell ref="A38:B38"/>
    <mergeCell ref="C38:E38"/>
    <mergeCell ref="G38:I38"/>
    <mergeCell ref="A32:I32"/>
    <mergeCell ref="A33:I33"/>
    <mergeCell ref="A34:E34"/>
    <mergeCell ref="G34:I34"/>
    <mergeCell ref="A35:E35"/>
    <mergeCell ref="G35:I35"/>
    <mergeCell ref="I43:I44"/>
    <mergeCell ref="A44:B44"/>
    <mergeCell ref="C44:D44"/>
    <mergeCell ref="A45:B45"/>
    <mergeCell ref="C45:D45"/>
    <mergeCell ref="A48:I48"/>
    <mergeCell ref="C39:E39"/>
    <mergeCell ref="G39:I39"/>
    <mergeCell ref="F40:I40"/>
    <mergeCell ref="F41:I41"/>
    <mergeCell ref="A42:I42"/>
    <mergeCell ref="A43:D43"/>
    <mergeCell ref="E43:E44"/>
    <mergeCell ref="F43:F44"/>
    <mergeCell ref="G43:G44"/>
    <mergeCell ref="H43:H44"/>
    <mergeCell ref="A53:E53"/>
    <mergeCell ref="F53:I53"/>
    <mergeCell ref="F54:I54"/>
    <mergeCell ref="A55:E55"/>
    <mergeCell ref="F55:I55"/>
    <mergeCell ref="F56:I56"/>
    <mergeCell ref="A49:E49"/>
    <mergeCell ref="F49:I49"/>
    <mergeCell ref="F50:I50"/>
    <mergeCell ref="A51:E51"/>
    <mergeCell ref="F51:I51"/>
    <mergeCell ref="F52:I52"/>
    <mergeCell ref="B61:D61"/>
    <mergeCell ref="F61:I61"/>
    <mergeCell ref="B62:D62"/>
    <mergeCell ref="F62:I62"/>
    <mergeCell ref="A63:I63"/>
    <mergeCell ref="A64:I64"/>
    <mergeCell ref="A57:E57"/>
    <mergeCell ref="F57:I57"/>
    <mergeCell ref="F58:I58"/>
    <mergeCell ref="A59:G59"/>
    <mergeCell ref="H59:I59"/>
    <mergeCell ref="H60:I60"/>
    <mergeCell ref="E71:I71"/>
    <mergeCell ref="A73:B73"/>
    <mergeCell ref="C73:I73"/>
    <mergeCell ref="C74:I74"/>
    <mergeCell ref="A76:B76"/>
    <mergeCell ref="C76:I76"/>
    <mergeCell ref="A65:I65"/>
    <mergeCell ref="A66:I66"/>
    <mergeCell ref="A67:I67"/>
    <mergeCell ref="A68:I68"/>
    <mergeCell ref="A70:D70"/>
    <mergeCell ref="E70:I70"/>
    <mergeCell ref="A84:I84"/>
    <mergeCell ref="A85:I85"/>
    <mergeCell ref="A87:B87"/>
    <mergeCell ref="C87:I87"/>
    <mergeCell ref="A88:I88"/>
    <mergeCell ref="A89:I89"/>
    <mergeCell ref="C77:I77"/>
    <mergeCell ref="C78:I78"/>
    <mergeCell ref="C79:I79"/>
    <mergeCell ref="C80:I80"/>
    <mergeCell ref="C81:I81"/>
    <mergeCell ref="A83:C83"/>
  </mergeCells>
  <dataValidations count="5">
    <dataValidation type="list" allowBlank="1" showInputMessage="1" showErrorMessage="1" sqref="F40:I40" xr:uid="{00000000-0002-0000-0C00-000000000000}">
      <formula1>"выполнена, не выполнена"</formula1>
    </dataValidation>
    <dataValidation type="list" allowBlank="1" showInputMessage="1" showErrorMessage="1" sqref="F51:I51 F53:I53 F55:I55" xr:uid="{00000000-0002-0000-0C00-000001000000}">
      <formula1>"соответствует, не соотвествует"</formula1>
    </dataValidation>
    <dataValidation type="list" allowBlank="1" showInputMessage="1" showErrorMessage="1" sqref="F49:I49" xr:uid="{00000000-0002-0000-0C00-000002000000}">
      <formula1>"соответствуют, не соотвествуют"</formula1>
    </dataValidation>
    <dataValidation type="list" allowBlank="1" showInputMessage="1" showErrorMessage="1" sqref="H59:I59" xr:uid="{00000000-0002-0000-0C00-000003000000}">
      <formula1>"пригодной, непригодной"</formula1>
    </dataValidation>
    <dataValidation type="list" allowBlank="1" showInputMessage="1" showErrorMessage="1" sqref="B61:D61" xr:uid="{00000000-0002-0000-0C00-000004000000}">
      <formula1>"допущена, не допущена"</formula1>
    </dataValidation>
  </dataValidations>
  <pageMargins left="0.25" right="0.25" top="0.75" bottom="0.75" header="0.3" footer="0.3"/>
  <pageSetup paperSize="9" scale="98" orientation="portrait" r:id="rId1"/>
  <rowBreaks count="1" manualBreakCount="1">
    <brk id="39" max="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K89"/>
  <sheetViews>
    <sheetView tabSelected="1" view="pageBreakPreview" zoomScale="60" zoomScaleNormal="100" workbookViewId="0"/>
  </sheetViews>
  <sheetFormatPr defaultColWidth="9.109375" defaultRowHeight="13.8" x14ac:dyDescent="0.25"/>
  <cols>
    <col min="1" max="1" width="9.109375" style="8"/>
    <col min="2" max="2" width="7.44140625" style="8" customWidth="1"/>
    <col min="3" max="3" width="7.5546875" style="8" customWidth="1"/>
    <col min="4" max="4" width="8.33203125" style="8" customWidth="1"/>
    <col min="5" max="5" width="17.6640625" style="8" customWidth="1"/>
    <col min="6" max="6" width="14.44140625" style="8" customWidth="1"/>
    <col min="7" max="7" width="10.6640625" style="8" customWidth="1"/>
    <col min="8" max="8" width="11.44140625" style="8" customWidth="1"/>
    <col min="9" max="9" width="11.6640625" style="8" customWidth="1"/>
    <col min="10" max="10" width="9.109375" style="8"/>
    <col min="11" max="11" width="11.109375" style="8" customWidth="1"/>
    <col min="12" max="16384" width="9.109375" style="8"/>
  </cols>
  <sheetData>
    <row r="1" spans="1:11" x14ac:dyDescent="0.25">
      <c r="H1" s="8" t="s">
        <v>5</v>
      </c>
    </row>
    <row r="2" spans="1:11" x14ac:dyDescent="0.25">
      <c r="H2" s="8" t="s">
        <v>6</v>
      </c>
    </row>
    <row r="3" spans="1:11" ht="5.25" customHeight="1" x14ac:dyDescent="0.25">
      <c r="K3" s="76"/>
    </row>
    <row r="4" spans="1:11" ht="14.4" thickBot="1" x14ac:dyDescent="0.3">
      <c r="A4" s="180" t="s">
        <v>7</v>
      </c>
      <c r="B4" s="180"/>
      <c r="C4" s="180"/>
      <c r="D4" s="180"/>
      <c r="E4" s="180"/>
      <c r="F4" s="180"/>
      <c r="G4" s="180"/>
      <c r="H4" s="180"/>
      <c r="I4" s="180"/>
      <c r="K4" s="77" t="str">
        <f ca="1">MID(CELL("имяфайла",A1),SEARCH("]",CELL("имяфайла",A1))+1,LEN(CELL("имяфайла",A1)))</f>
        <v>АВК 12</v>
      </c>
    </row>
    <row r="5" spans="1:11" ht="10.5" customHeight="1" x14ac:dyDescent="0.25">
      <c r="F5" s="181" t="s">
        <v>95</v>
      </c>
      <c r="G5" s="182"/>
      <c r="H5" s="182"/>
      <c r="I5" s="183"/>
      <c r="K5" s="78">
        <f ca="1">RIGHT(K4,LEN(K4)-4)+2</f>
        <v>14</v>
      </c>
    </row>
    <row r="6" spans="1:11" ht="14.4" thickBot="1" x14ac:dyDescent="0.3">
      <c r="F6" s="184"/>
      <c r="G6" s="185"/>
      <c r="H6" s="185"/>
      <c r="I6" s="186"/>
      <c r="K6" s="79"/>
    </row>
    <row r="7" spans="1:11" x14ac:dyDescent="0.25">
      <c r="F7" s="187" t="s">
        <v>8</v>
      </c>
      <c r="G7" s="187"/>
      <c r="H7" s="187"/>
      <c r="I7" s="187"/>
    </row>
    <row r="8" spans="1:11" ht="46.8" customHeight="1" x14ac:dyDescent="0.25">
      <c r="A8" s="8" t="s">
        <v>9</v>
      </c>
      <c r="D8" s="188" t="str">
        <f>'Жвх.к (т)'!C17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E8" s="188"/>
      <c r="F8" s="188"/>
      <c r="G8" s="188"/>
      <c r="H8" s="188"/>
      <c r="I8" s="188"/>
    </row>
    <row r="9" spans="1:11" x14ac:dyDescent="0.25">
      <c r="A9" s="189" t="s">
        <v>10</v>
      </c>
      <c r="B9" s="189"/>
      <c r="C9" s="189"/>
      <c r="D9" s="190" t="s">
        <v>96</v>
      </c>
      <c r="E9" s="190"/>
      <c r="F9" s="190"/>
      <c r="G9" s="190"/>
      <c r="H9" s="190"/>
      <c r="I9" s="190"/>
    </row>
    <row r="11" spans="1:11" x14ac:dyDescent="0.25">
      <c r="A11" s="180" t="str">
        <f ca="1">CONCATENATE("АКТ № ",INDIRECT("'Форма журнала'!R"&amp;K5&amp;"C2",0))</f>
        <v>АКТ № 8</v>
      </c>
      <c r="B11" s="180"/>
      <c r="C11" s="180"/>
      <c r="D11" s="180"/>
      <c r="E11" s="180"/>
      <c r="F11" s="180"/>
      <c r="G11" s="180"/>
      <c r="H11" s="180"/>
      <c r="I11" s="180"/>
    </row>
    <row r="12" spans="1:11" x14ac:dyDescent="0.25">
      <c r="A12" s="180" t="s">
        <v>11</v>
      </c>
      <c r="B12" s="180"/>
      <c r="C12" s="180"/>
      <c r="D12" s="180"/>
      <c r="E12" s="180"/>
      <c r="F12" s="180"/>
      <c r="G12" s="180"/>
      <c r="H12" s="180"/>
      <c r="I12" s="180"/>
    </row>
    <row r="13" spans="1:11" x14ac:dyDescent="0.25">
      <c r="A13" s="172"/>
      <c r="B13" s="172"/>
      <c r="G13" s="193">
        <f ca="1">INDIRECT("'Форма журнала'!R"&amp;K5&amp;"C3",0)</f>
        <v>45607</v>
      </c>
      <c r="H13" s="193"/>
      <c r="I13" s="193"/>
    </row>
    <row r="14" spans="1:11" x14ac:dyDescent="0.25">
      <c r="A14" s="191" t="s">
        <v>12</v>
      </c>
      <c r="B14" s="191"/>
    </row>
    <row r="15" spans="1:11" x14ac:dyDescent="0.25">
      <c r="A15" s="8" t="s">
        <v>13</v>
      </c>
      <c r="C15" s="192" t="str">
        <f>'Жвх.к (т)'!B7</f>
        <v>ООО «СЭТ»</v>
      </c>
      <c r="D15" s="192"/>
      <c r="E15" s="192"/>
      <c r="F15" s="41" t="s">
        <v>523</v>
      </c>
      <c r="G15" s="41"/>
      <c r="H15" s="41"/>
      <c r="I15" s="41"/>
    </row>
    <row r="16" spans="1:11" x14ac:dyDescent="0.25">
      <c r="C16" s="19" t="s">
        <v>22</v>
      </c>
    </row>
    <row r="17" spans="1:9" x14ac:dyDescent="0.25">
      <c r="A17" s="8" t="s">
        <v>34</v>
      </c>
      <c r="C17" s="19"/>
    </row>
    <row r="18" spans="1:9" ht="30.75" customHeight="1" x14ac:dyDescent="0.3">
      <c r="A18" s="179" t="str">
        <f>CONCATENATE(ПОДПИСИ!B7," ",ПОДПИСИ!C7)</f>
        <v>Директор по строительству ООО «СЭТ» Потоцкий А.А.</v>
      </c>
      <c r="B18" s="179"/>
      <c r="C18" s="179"/>
      <c r="D18" s="179"/>
      <c r="E18" s="179"/>
      <c r="F18" s="179"/>
      <c r="G18" s="179"/>
      <c r="H18" s="179"/>
      <c r="I18" s="179"/>
    </row>
    <row r="19" spans="1:9" x14ac:dyDescent="0.25">
      <c r="A19" s="8" t="s">
        <v>23</v>
      </c>
    </row>
    <row r="20" spans="1:9" x14ac:dyDescent="0.25">
      <c r="B20" s="174" t="str">
        <f>CONCATENATE(ПОДПИСИ!B9," ",ПОДПИСИ!C9)</f>
        <v>Начальник участка ООО «СЭТ» Нугуманов М.А.</v>
      </c>
      <c r="C20" s="174"/>
      <c r="D20" s="174"/>
      <c r="E20" s="174"/>
      <c r="F20" s="174"/>
      <c r="G20" s="174"/>
      <c r="H20" s="174"/>
      <c r="I20" s="174"/>
    </row>
    <row r="21" spans="1:9" ht="9" customHeight="1" x14ac:dyDescent="0.25">
      <c r="B21" s="173" t="s">
        <v>24</v>
      </c>
      <c r="C21" s="173"/>
      <c r="D21" s="173"/>
      <c r="E21" s="173"/>
      <c r="F21" s="173"/>
      <c r="G21" s="173"/>
      <c r="H21" s="173"/>
      <c r="I21" s="173"/>
    </row>
    <row r="22" spans="1:9" ht="30.75" customHeight="1" x14ac:dyDescent="0.25">
      <c r="B22" s="174" t="str">
        <f>CONCATENATE(ПОДПИСИ!B11," ",ПОДПИСИ!C11)</f>
        <v>Ведущий инженер строительного контроля ООО «СЭТ» Кольцов А.Г.</v>
      </c>
      <c r="C22" s="174"/>
      <c r="D22" s="174"/>
      <c r="E22" s="174"/>
      <c r="F22" s="174"/>
      <c r="G22" s="174"/>
      <c r="H22" s="174"/>
      <c r="I22" s="174"/>
    </row>
    <row r="23" spans="1:9" ht="11.25" customHeight="1" x14ac:dyDescent="0.25">
      <c r="B23" s="173" t="s">
        <v>24</v>
      </c>
      <c r="C23" s="173"/>
      <c r="D23" s="173"/>
      <c r="E23" s="173"/>
      <c r="F23" s="173"/>
      <c r="G23" s="173"/>
      <c r="H23" s="173"/>
      <c r="I23" s="173"/>
    </row>
    <row r="24" spans="1:9" x14ac:dyDescent="0.25">
      <c r="B24" s="172"/>
      <c r="C24" s="172"/>
      <c r="D24" s="172"/>
      <c r="E24" s="172"/>
      <c r="F24" s="172"/>
      <c r="G24" s="172"/>
      <c r="H24" s="172"/>
      <c r="I24" s="172"/>
    </row>
    <row r="25" spans="1:9" ht="10.5" customHeight="1" x14ac:dyDescent="0.25">
      <c r="B25" s="173" t="s">
        <v>24</v>
      </c>
      <c r="C25" s="173"/>
      <c r="D25" s="173"/>
      <c r="E25" s="173"/>
      <c r="F25" s="173"/>
      <c r="G25" s="173"/>
      <c r="H25" s="173"/>
      <c r="I25" s="173"/>
    </row>
    <row r="26" spans="1:9" x14ac:dyDescent="0.25">
      <c r="A26" s="8" t="s">
        <v>25</v>
      </c>
    </row>
    <row r="27" spans="1:9" ht="44.25" customHeight="1" x14ac:dyDescent="0.25">
      <c r="A27" s="174" t="s">
        <v>102</v>
      </c>
      <c r="B27" s="174"/>
      <c r="C27" s="174"/>
      <c r="D27" s="174"/>
      <c r="E27" s="174"/>
      <c r="F27" s="174"/>
      <c r="G27" s="174"/>
      <c r="H27" s="174"/>
      <c r="I27" s="174"/>
    </row>
    <row r="28" spans="1:9" x14ac:dyDescent="0.25">
      <c r="A28" s="175" t="s">
        <v>26</v>
      </c>
      <c r="B28" s="175"/>
      <c r="C28" s="175"/>
      <c r="D28" s="175"/>
      <c r="E28" s="175"/>
      <c r="F28" s="175"/>
      <c r="G28" s="175"/>
      <c r="H28" s="175"/>
      <c r="I28" s="175"/>
    </row>
    <row r="29" spans="1:9" x14ac:dyDescent="0.25">
      <c r="A29" s="176" t="s">
        <v>27</v>
      </c>
      <c r="B29" s="176"/>
      <c r="C29" s="176"/>
      <c r="D29" s="176"/>
      <c r="E29" s="176"/>
      <c r="F29" s="176"/>
      <c r="G29" s="176"/>
      <c r="H29" s="176"/>
      <c r="I29" s="176"/>
    </row>
    <row r="30" spans="1:9" x14ac:dyDescent="0.25">
      <c r="A30" s="177" t="s">
        <v>28</v>
      </c>
      <c r="B30" s="177"/>
      <c r="C30" s="177"/>
      <c r="D30" s="177"/>
      <c r="E30" s="177"/>
      <c r="F30" s="177"/>
      <c r="G30" s="177"/>
      <c r="H30" s="177"/>
      <c r="I30" s="177"/>
    </row>
    <row r="31" spans="1:9" x14ac:dyDescent="0.25">
      <c r="A31" s="174" t="str">
        <f ca="1">INDIRECT("'Форма журнала'!R"&amp;K5&amp;"C4",0)</f>
        <v>Траверса ТМ66</v>
      </c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5" t="s">
        <v>29</v>
      </c>
      <c r="B32" s="175"/>
      <c r="C32" s="175"/>
      <c r="D32" s="175"/>
      <c r="E32" s="175"/>
      <c r="F32" s="175"/>
      <c r="G32" s="175"/>
      <c r="H32" s="175"/>
      <c r="I32" s="175"/>
    </row>
    <row r="33" spans="1:11" x14ac:dyDescent="0.25">
      <c r="A33" s="178" t="s">
        <v>30</v>
      </c>
      <c r="B33" s="178"/>
      <c r="C33" s="178"/>
      <c r="D33" s="178"/>
      <c r="E33" s="178"/>
      <c r="F33" s="178"/>
      <c r="G33" s="178"/>
      <c r="H33" s="178"/>
      <c r="I33" s="178"/>
    </row>
    <row r="34" spans="1:11" ht="24" customHeight="1" x14ac:dyDescent="0.25">
      <c r="A34" s="194" t="str">
        <f ca="1">INDIRECT("'Форма журнала'!R"&amp;K5&amp;"C7",0)</f>
        <v>Сертификат соответствия №РОСС RU.НЕ06.Н05218 от 12.04.2023 сроком действия до 11.04.2026</v>
      </c>
      <c r="B34" s="194"/>
      <c r="C34" s="194"/>
      <c r="D34" s="194"/>
      <c r="E34" s="194"/>
      <c r="F34" s="20" t="s">
        <v>31</v>
      </c>
      <c r="G34" s="195"/>
      <c r="H34" s="195"/>
      <c r="I34" s="195"/>
    </row>
    <row r="35" spans="1:11" x14ac:dyDescent="0.25">
      <c r="A35" s="175" t="s">
        <v>33</v>
      </c>
      <c r="B35" s="175"/>
      <c r="C35" s="175"/>
      <c r="D35" s="175"/>
      <c r="E35" s="175"/>
      <c r="F35" s="21"/>
      <c r="G35" s="175" t="s">
        <v>32</v>
      </c>
      <c r="H35" s="175"/>
      <c r="I35" s="175"/>
    </row>
    <row r="36" spans="1:11" x14ac:dyDescent="0.25">
      <c r="A36" s="177" t="s">
        <v>104</v>
      </c>
      <c r="B36" s="177"/>
      <c r="C36" s="192" t="str">
        <f ca="1">INDIRECT("'Форма журнала'!R"&amp;K5&amp;"C5",0)</f>
        <v>5 шт.</v>
      </c>
      <c r="D36" s="192"/>
      <c r="E36" s="192"/>
      <c r="F36" s="26" t="s">
        <v>68</v>
      </c>
      <c r="G36" s="196"/>
      <c r="H36" s="196"/>
      <c r="I36" s="196"/>
    </row>
    <row r="37" spans="1:11" x14ac:dyDescent="0.25">
      <c r="A37" s="21"/>
      <c r="B37" s="21"/>
      <c r="C37" s="175" t="s">
        <v>35</v>
      </c>
      <c r="D37" s="175"/>
      <c r="E37" s="175"/>
      <c r="F37" s="21"/>
      <c r="G37" s="191" t="s">
        <v>36</v>
      </c>
      <c r="H37" s="191"/>
      <c r="I37" s="191"/>
    </row>
    <row r="38" spans="1:11" x14ac:dyDescent="0.25">
      <c r="A38" s="177" t="s">
        <v>37</v>
      </c>
      <c r="B38" s="177"/>
      <c r="C38" s="174" t="str">
        <f ca="1">INDIRECT("'Форма журнала'!R"&amp;K5&amp;"C6",0)</f>
        <v>ООО "НИЛЕД"</v>
      </c>
      <c r="D38" s="174"/>
      <c r="E38" s="174"/>
      <c r="F38" s="20" t="s">
        <v>38</v>
      </c>
      <c r="G38" s="195"/>
      <c r="H38" s="195"/>
      <c r="I38" s="195"/>
      <c r="K38" s="28"/>
    </row>
    <row r="39" spans="1:11" x14ac:dyDescent="0.25">
      <c r="A39" s="22"/>
      <c r="B39" s="22"/>
      <c r="C39" s="175" t="s">
        <v>39</v>
      </c>
      <c r="D39" s="175"/>
      <c r="E39" s="175"/>
      <c r="F39" s="20"/>
      <c r="G39" s="191" t="s">
        <v>40</v>
      </c>
      <c r="H39" s="191"/>
      <c r="I39" s="191"/>
    </row>
    <row r="40" spans="1:11" x14ac:dyDescent="0.25">
      <c r="A40" s="22" t="s">
        <v>41</v>
      </c>
      <c r="B40" s="22"/>
      <c r="C40" s="21"/>
      <c r="D40" s="21"/>
      <c r="E40" s="21"/>
      <c r="F40" s="197" t="s">
        <v>101</v>
      </c>
      <c r="G40" s="197"/>
      <c r="H40" s="197"/>
      <c r="I40" s="197"/>
    </row>
    <row r="41" spans="1:11" x14ac:dyDescent="0.25">
      <c r="F41" s="198" t="s">
        <v>42</v>
      </c>
      <c r="G41" s="198"/>
      <c r="H41" s="198"/>
      <c r="I41" s="198"/>
    </row>
    <row r="42" spans="1:11" x14ac:dyDescent="0.25">
      <c r="A42" s="199" t="s">
        <v>43</v>
      </c>
      <c r="B42" s="199"/>
      <c r="C42" s="199"/>
      <c r="D42" s="199"/>
      <c r="E42" s="199"/>
      <c r="F42" s="199"/>
      <c r="G42" s="199"/>
      <c r="H42" s="199"/>
      <c r="I42" s="199"/>
    </row>
    <row r="43" spans="1:11" ht="30" customHeight="1" x14ac:dyDescent="0.25">
      <c r="A43" s="202" t="s">
        <v>14</v>
      </c>
      <c r="B43" s="202"/>
      <c r="C43" s="202"/>
      <c r="D43" s="202"/>
      <c r="E43" s="202" t="s">
        <v>17</v>
      </c>
      <c r="F43" s="202" t="s">
        <v>18</v>
      </c>
      <c r="G43" s="202" t="s">
        <v>19</v>
      </c>
      <c r="H43" s="202" t="s">
        <v>20</v>
      </c>
      <c r="I43" s="202" t="s">
        <v>21</v>
      </c>
    </row>
    <row r="44" spans="1:11" ht="32.25" customHeight="1" x14ac:dyDescent="0.25">
      <c r="A44" s="202" t="s">
        <v>15</v>
      </c>
      <c r="B44" s="202"/>
      <c r="C44" s="202" t="s">
        <v>16</v>
      </c>
      <c r="D44" s="202"/>
      <c r="E44" s="202"/>
      <c r="F44" s="202"/>
      <c r="G44" s="202"/>
      <c r="H44" s="202"/>
      <c r="I44" s="202"/>
    </row>
    <row r="45" spans="1:11" x14ac:dyDescent="0.25">
      <c r="A45" s="201">
        <v>1</v>
      </c>
      <c r="B45" s="201"/>
      <c r="C45" s="201">
        <v>2</v>
      </c>
      <c r="D45" s="201"/>
      <c r="E45" s="23">
        <v>3</v>
      </c>
      <c r="F45" s="23">
        <v>4</v>
      </c>
      <c r="G45" s="23">
        <v>5</v>
      </c>
      <c r="H45" s="23">
        <v>6</v>
      </c>
      <c r="I45" s="23">
        <v>7</v>
      </c>
    </row>
    <row r="46" spans="1:11" x14ac:dyDescent="0.25">
      <c r="A46" s="24" t="str">
        <f ca="1">C36</f>
        <v>5 шт.</v>
      </c>
      <c r="B46" s="24"/>
      <c r="C46" s="24"/>
      <c r="D46" s="24"/>
      <c r="E46" s="24"/>
      <c r="F46" s="24"/>
      <c r="G46" s="24"/>
      <c r="H46" s="24"/>
      <c r="I46" s="24" t="s">
        <v>127</v>
      </c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00" t="s">
        <v>44</v>
      </c>
      <c r="B48" s="200"/>
      <c r="C48" s="200"/>
      <c r="D48" s="200"/>
      <c r="E48" s="200"/>
      <c r="F48" s="200"/>
      <c r="G48" s="200"/>
      <c r="H48" s="200"/>
      <c r="I48" s="200"/>
    </row>
    <row r="49" spans="1:9" x14ac:dyDescent="0.25">
      <c r="A49" s="189" t="s">
        <v>45</v>
      </c>
      <c r="B49" s="189"/>
      <c r="C49" s="189"/>
      <c r="D49" s="189"/>
      <c r="E49" s="189"/>
      <c r="F49" s="192" t="s">
        <v>97</v>
      </c>
      <c r="G49" s="192"/>
      <c r="H49" s="192"/>
      <c r="I49" s="192"/>
    </row>
    <row r="50" spans="1:9" ht="10.5" customHeight="1" x14ac:dyDescent="0.25">
      <c r="A50" s="25"/>
      <c r="B50" s="25"/>
      <c r="C50" s="25"/>
      <c r="D50" s="25"/>
      <c r="E50" s="25"/>
      <c r="F50" s="198" t="s">
        <v>47</v>
      </c>
      <c r="G50" s="198"/>
      <c r="H50" s="198"/>
      <c r="I50" s="198"/>
    </row>
    <row r="51" spans="1:9" ht="15" customHeight="1" x14ac:dyDescent="0.25">
      <c r="A51" s="189" t="s">
        <v>46</v>
      </c>
      <c r="B51" s="189"/>
      <c r="C51" s="189"/>
      <c r="D51" s="189"/>
      <c r="E51" s="189"/>
      <c r="F51" s="192" t="s">
        <v>95</v>
      </c>
      <c r="G51" s="192"/>
      <c r="H51" s="192"/>
      <c r="I51" s="192"/>
    </row>
    <row r="52" spans="1:9" ht="12.75" customHeight="1" x14ac:dyDescent="0.25">
      <c r="F52" s="198" t="s">
        <v>48</v>
      </c>
      <c r="G52" s="198"/>
      <c r="H52" s="198"/>
      <c r="I52" s="198"/>
    </row>
    <row r="53" spans="1:9" x14ac:dyDescent="0.25">
      <c r="A53" s="189" t="s">
        <v>49</v>
      </c>
      <c r="B53" s="189"/>
      <c r="C53" s="189"/>
      <c r="D53" s="189"/>
      <c r="E53" s="189"/>
      <c r="F53" s="192" t="s">
        <v>95</v>
      </c>
      <c r="G53" s="192"/>
      <c r="H53" s="192"/>
      <c r="I53" s="192"/>
    </row>
    <row r="54" spans="1:9" ht="11.25" customHeight="1" x14ac:dyDescent="0.25">
      <c r="F54" s="198" t="s">
        <v>48</v>
      </c>
      <c r="G54" s="198"/>
      <c r="H54" s="198"/>
      <c r="I54" s="198"/>
    </row>
    <row r="55" spans="1:9" x14ac:dyDescent="0.25">
      <c r="A55" s="189" t="s">
        <v>50</v>
      </c>
      <c r="B55" s="189"/>
      <c r="C55" s="189"/>
      <c r="D55" s="189"/>
      <c r="E55" s="189"/>
      <c r="F55" s="192" t="s">
        <v>95</v>
      </c>
      <c r="G55" s="192"/>
      <c r="H55" s="192"/>
      <c r="I55" s="192"/>
    </row>
    <row r="56" spans="1:9" ht="10.5" customHeight="1" x14ac:dyDescent="0.25">
      <c r="F56" s="198" t="s">
        <v>48</v>
      </c>
      <c r="G56" s="198"/>
      <c r="H56" s="198"/>
      <c r="I56" s="198"/>
    </row>
    <row r="57" spans="1:9" ht="15" customHeight="1" x14ac:dyDescent="0.25">
      <c r="A57" s="189" t="s">
        <v>51</v>
      </c>
      <c r="B57" s="189"/>
      <c r="C57" s="189"/>
      <c r="D57" s="189"/>
      <c r="E57" s="189"/>
      <c r="F57" s="192" t="str">
        <f ca="1">IF(OR(INDIRECT("'Форма журнала'!R"&amp;K5&amp;"C13",0)="",INDIRECT("'Форма журнала'!R"&amp;K5&amp;"C13",0)=0),"отсутствует",INDIRECT("'Форма журнала'!R"&amp;K5&amp;"C13",0))</f>
        <v>Отсутствует</v>
      </c>
      <c r="G57" s="192"/>
      <c r="H57" s="192"/>
      <c r="I57" s="192"/>
    </row>
    <row r="58" spans="1:9" ht="9.75" customHeight="1" x14ac:dyDescent="0.25">
      <c r="F58" s="198" t="s">
        <v>48</v>
      </c>
      <c r="G58" s="198"/>
      <c r="H58" s="198"/>
      <c r="I58" s="198"/>
    </row>
    <row r="59" spans="1:9" x14ac:dyDescent="0.25">
      <c r="A59" s="189" t="s">
        <v>52</v>
      </c>
      <c r="B59" s="189"/>
      <c r="C59" s="189"/>
      <c r="D59" s="189"/>
      <c r="E59" s="189"/>
      <c r="F59" s="189"/>
      <c r="G59" s="189"/>
      <c r="H59" s="192" t="s">
        <v>98</v>
      </c>
      <c r="I59" s="192"/>
    </row>
    <row r="60" spans="1:9" x14ac:dyDescent="0.25">
      <c r="H60" s="203" t="s">
        <v>53</v>
      </c>
      <c r="I60" s="203"/>
    </row>
    <row r="61" spans="1:9" x14ac:dyDescent="0.25">
      <c r="A61" s="8" t="s">
        <v>54</v>
      </c>
      <c r="B61" s="192" t="s">
        <v>99</v>
      </c>
      <c r="C61" s="192"/>
      <c r="D61" s="192"/>
      <c r="E61" s="8" t="s">
        <v>55</v>
      </c>
      <c r="F61" s="192" t="s">
        <v>100</v>
      </c>
      <c r="G61" s="192"/>
      <c r="H61" s="192"/>
      <c r="I61" s="192"/>
    </row>
    <row r="62" spans="1:9" x14ac:dyDescent="0.25">
      <c r="B62" s="203" t="s">
        <v>57</v>
      </c>
      <c r="C62" s="203"/>
      <c r="D62" s="203"/>
      <c r="F62" s="198" t="s">
        <v>56</v>
      </c>
      <c r="G62" s="198"/>
      <c r="H62" s="198"/>
      <c r="I62" s="198"/>
    </row>
    <row r="63" spans="1:9" x14ac:dyDescent="0.25">
      <c r="A63" s="189" t="s">
        <v>58</v>
      </c>
      <c r="B63" s="189"/>
      <c r="C63" s="189"/>
      <c r="D63" s="189"/>
      <c r="E63" s="189"/>
      <c r="F63" s="189"/>
      <c r="G63" s="189"/>
      <c r="H63" s="189"/>
      <c r="I63" s="189"/>
    </row>
    <row r="64" spans="1:9" x14ac:dyDescent="0.25">
      <c r="A64" s="172"/>
      <c r="B64" s="172"/>
      <c r="C64" s="172"/>
      <c r="D64" s="172"/>
      <c r="E64" s="172"/>
      <c r="F64" s="172"/>
      <c r="G64" s="172"/>
      <c r="H64" s="172"/>
      <c r="I64" s="172"/>
    </row>
    <row r="65" spans="1:9" ht="11.25" customHeight="1" x14ac:dyDescent="0.25">
      <c r="A65" s="198" t="s">
        <v>59</v>
      </c>
      <c r="B65" s="198"/>
      <c r="C65" s="198"/>
      <c r="D65" s="198"/>
      <c r="E65" s="198"/>
      <c r="F65" s="198"/>
      <c r="G65" s="198"/>
      <c r="H65" s="198"/>
      <c r="I65" s="198"/>
    </row>
    <row r="66" spans="1:9" x14ac:dyDescent="0.25">
      <c r="A66" s="172"/>
      <c r="B66" s="172"/>
      <c r="C66" s="172"/>
      <c r="D66" s="172"/>
      <c r="E66" s="172"/>
      <c r="F66" s="172"/>
      <c r="G66" s="172"/>
      <c r="H66" s="172"/>
      <c r="I66" s="172"/>
    </row>
    <row r="67" spans="1:9" ht="12" customHeight="1" x14ac:dyDescent="0.25">
      <c r="A67" s="198" t="s">
        <v>60</v>
      </c>
      <c r="B67" s="198"/>
      <c r="C67" s="198"/>
      <c r="D67" s="198"/>
      <c r="E67" s="198"/>
      <c r="F67" s="198"/>
      <c r="G67" s="198"/>
      <c r="H67" s="198"/>
      <c r="I67" s="198"/>
    </row>
    <row r="68" spans="1:9" x14ac:dyDescent="0.25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ht="8.25" customHeight="1" x14ac:dyDescent="0.25"/>
    <row r="70" spans="1:9" x14ac:dyDescent="0.25">
      <c r="A70" s="204" t="s">
        <v>61</v>
      </c>
      <c r="B70" s="204"/>
      <c r="C70" s="204"/>
      <c r="D70" s="204"/>
      <c r="E70" s="172"/>
      <c r="F70" s="172"/>
      <c r="G70" s="172"/>
      <c r="H70" s="172"/>
      <c r="I70" s="172"/>
    </row>
    <row r="71" spans="1:9" ht="12.75" customHeight="1" x14ac:dyDescent="0.25">
      <c r="E71" s="198" t="s">
        <v>62</v>
      </c>
      <c r="F71" s="198"/>
      <c r="G71" s="198"/>
      <c r="H71" s="198"/>
      <c r="I71" s="198"/>
    </row>
    <row r="73" spans="1:9" ht="28.5" customHeight="1" x14ac:dyDescent="0.25">
      <c r="A73" s="189" t="s">
        <v>63</v>
      </c>
      <c r="B73" s="189"/>
      <c r="C73" s="174" t="str">
        <f>A18</f>
        <v>Директор по строительству ООО «СЭТ» Потоцкий А.А.</v>
      </c>
      <c r="D73" s="174"/>
      <c r="E73" s="174"/>
      <c r="F73" s="174"/>
      <c r="G73" s="174"/>
      <c r="H73" s="174"/>
      <c r="I73" s="174"/>
    </row>
    <row r="74" spans="1:9" ht="12" customHeight="1" x14ac:dyDescent="0.25">
      <c r="C74" s="198" t="s">
        <v>64</v>
      </c>
      <c r="D74" s="198"/>
      <c r="E74" s="198"/>
      <c r="F74" s="198"/>
      <c r="G74" s="198"/>
      <c r="H74" s="198"/>
      <c r="I74" s="198"/>
    </row>
    <row r="76" spans="1:9" x14ac:dyDescent="0.25">
      <c r="A76" s="189" t="s">
        <v>65</v>
      </c>
      <c r="B76" s="189"/>
      <c r="C76" s="174" t="str">
        <f>B20</f>
        <v>Начальник участка ООО «СЭТ» Нугуманов М.А.</v>
      </c>
      <c r="D76" s="174"/>
      <c r="E76" s="174"/>
      <c r="F76" s="174"/>
      <c r="G76" s="174"/>
      <c r="H76" s="174"/>
      <c r="I76" s="174"/>
    </row>
    <row r="77" spans="1:9" ht="11.25" customHeight="1" x14ac:dyDescent="0.25">
      <c r="C77" s="173" t="s">
        <v>64</v>
      </c>
      <c r="D77" s="173"/>
      <c r="E77" s="173"/>
      <c r="F77" s="173"/>
      <c r="G77" s="173"/>
      <c r="H77" s="173"/>
      <c r="I77" s="173"/>
    </row>
    <row r="78" spans="1:9" ht="28.5" customHeight="1" x14ac:dyDescent="0.25">
      <c r="C78" s="174" t="str">
        <f>B22</f>
        <v>Ведущий инженер строительного контроля ООО «СЭТ» Кольцов А.Г.</v>
      </c>
      <c r="D78" s="174"/>
      <c r="E78" s="174"/>
      <c r="F78" s="174"/>
      <c r="G78" s="174"/>
      <c r="H78" s="174"/>
      <c r="I78" s="174"/>
    </row>
    <row r="79" spans="1:9" ht="12" customHeight="1" x14ac:dyDescent="0.25">
      <c r="C79" s="173" t="s">
        <v>64</v>
      </c>
      <c r="D79" s="173"/>
      <c r="E79" s="173"/>
      <c r="F79" s="173"/>
      <c r="G79" s="173"/>
      <c r="H79" s="173"/>
      <c r="I79" s="173"/>
    </row>
    <row r="80" spans="1:9" x14ac:dyDescent="0.25">
      <c r="C80" s="172"/>
      <c r="D80" s="172"/>
      <c r="E80" s="172"/>
      <c r="F80" s="172"/>
      <c r="G80" s="172"/>
      <c r="H80" s="172"/>
      <c r="I80" s="172"/>
    </row>
    <row r="81" spans="1:9" x14ac:dyDescent="0.25">
      <c r="C81" s="173" t="s">
        <v>64</v>
      </c>
      <c r="D81" s="173"/>
      <c r="E81" s="173"/>
      <c r="F81" s="173"/>
      <c r="G81" s="173"/>
      <c r="H81" s="173"/>
      <c r="I81" s="173"/>
    </row>
    <row r="83" spans="1:9" x14ac:dyDescent="0.25">
      <c r="A83" s="189" t="s">
        <v>66</v>
      </c>
      <c r="B83" s="189"/>
      <c r="C83" s="189"/>
    </row>
    <row r="84" spans="1:9" x14ac:dyDescent="0.25">
      <c r="A84" s="192" t="str">
        <f>CONCATENATE(ПОДПИСИ!B13," ",ПОДПИСИ!C13)</f>
        <v>Ведущий инженер отдела строительного контроля АО "ЛЭСР" Сафуанова В.А.</v>
      </c>
      <c r="B84" s="192"/>
      <c r="C84" s="192"/>
      <c r="D84" s="192"/>
      <c r="E84" s="192"/>
      <c r="F84" s="192"/>
      <c r="G84" s="192"/>
      <c r="H84" s="192"/>
      <c r="I84" s="192"/>
    </row>
    <row r="85" spans="1:9" x14ac:dyDescent="0.25">
      <c r="A85" s="191" t="s">
        <v>64</v>
      </c>
      <c r="B85" s="191"/>
      <c r="C85" s="191"/>
      <c r="D85" s="191"/>
      <c r="E85" s="191"/>
      <c r="F85" s="191"/>
      <c r="G85" s="191"/>
      <c r="H85" s="191"/>
      <c r="I85" s="191"/>
    </row>
    <row r="87" spans="1:9" x14ac:dyDescent="0.25">
      <c r="A87" s="189" t="s">
        <v>67</v>
      </c>
      <c r="B87" s="189"/>
      <c r="C87" s="172"/>
      <c r="D87" s="172"/>
      <c r="E87" s="172"/>
      <c r="F87" s="172"/>
      <c r="G87" s="172"/>
      <c r="H87" s="172"/>
      <c r="I87" s="172"/>
    </row>
    <row r="88" spans="1:9" x14ac:dyDescent="0.25">
      <c r="A88" s="172"/>
      <c r="B88" s="172"/>
      <c r="C88" s="172"/>
      <c r="D88" s="172"/>
      <c r="E88" s="172"/>
      <c r="F88" s="172"/>
      <c r="G88" s="172"/>
      <c r="H88" s="172"/>
      <c r="I88" s="172"/>
    </row>
    <row r="89" spans="1:9" x14ac:dyDescent="0.25">
      <c r="A89" s="205"/>
      <c r="B89" s="205"/>
      <c r="C89" s="205"/>
      <c r="D89" s="205"/>
      <c r="E89" s="205"/>
      <c r="F89" s="205"/>
      <c r="G89" s="205"/>
      <c r="H89" s="205"/>
      <c r="I89" s="205"/>
    </row>
  </sheetData>
  <mergeCells count="102">
    <mergeCell ref="A11:I11"/>
    <mergeCell ref="A12:I12"/>
    <mergeCell ref="A13:B13"/>
    <mergeCell ref="G13:I13"/>
    <mergeCell ref="A14:B14"/>
    <mergeCell ref="C15:E15"/>
    <mergeCell ref="A4:I4"/>
    <mergeCell ref="F5:I6"/>
    <mergeCell ref="F7:I7"/>
    <mergeCell ref="D8:I8"/>
    <mergeCell ref="A9:C9"/>
    <mergeCell ref="D9:I9"/>
    <mergeCell ref="B25:I25"/>
    <mergeCell ref="A27:I27"/>
    <mergeCell ref="A28:I28"/>
    <mergeCell ref="A29:I29"/>
    <mergeCell ref="A30:I30"/>
    <mergeCell ref="A31:I31"/>
    <mergeCell ref="A18:I18"/>
    <mergeCell ref="B20:I20"/>
    <mergeCell ref="B21:I21"/>
    <mergeCell ref="B22:I22"/>
    <mergeCell ref="B23:I23"/>
    <mergeCell ref="B24:I24"/>
    <mergeCell ref="A36:B36"/>
    <mergeCell ref="C36:E36"/>
    <mergeCell ref="G36:I36"/>
    <mergeCell ref="C37:E37"/>
    <mergeCell ref="G37:I37"/>
    <mergeCell ref="A38:B38"/>
    <mergeCell ref="C38:E38"/>
    <mergeCell ref="G38:I38"/>
    <mergeCell ref="A32:I32"/>
    <mergeCell ref="A33:I33"/>
    <mergeCell ref="A34:E34"/>
    <mergeCell ref="G34:I34"/>
    <mergeCell ref="A35:E35"/>
    <mergeCell ref="G35:I35"/>
    <mergeCell ref="I43:I44"/>
    <mergeCell ref="A44:B44"/>
    <mergeCell ref="C44:D44"/>
    <mergeCell ref="A45:B45"/>
    <mergeCell ref="C45:D45"/>
    <mergeCell ref="A48:I48"/>
    <mergeCell ref="C39:E39"/>
    <mergeCell ref="G39:I39"/>
    <mergeCell ref="F40:I40"/>
    <mergeCell ref="F41:I41"/>
    <mergeCell ref="A42:I42"/>
    <mergeCell ref="A43:D43"/>
    <mergeCell ref="E43:E44"/>
    <mergeCell ref="F43:F44"/>
    <mergeCell ref="G43:G44"/>
    <mergeCell ref="H43:H44"/>
    <mergeCell ref="A53:E53"/>
    <mergeCell ref="F53:I53"/>
    <mergeCell ref="F54:I54"/>
    <mergeCell ref="A55:E55"/>
    <mergeCell ref="F55:I55"/>
    <mergeCell ref="F56:I56"/>
    <mergeCell ref="A49:E49"/>
    <mergeCell ref="F49:I49"/>
    <mergeCell ref="F50:I50"/>
    <mergeCell ref="A51:E51"/>
    <mergeCell ref="F51:I51"/>
    <mergeCell ref="F52:I52"/>
    <mergeCell ref="B61:D61"/>
    <mergeCell ref="F61:I61"/>
    <mergeCell ref="B62:D62"/>
    <mergeCell ref="F62:I62"/>
    <mergeCell ref="A63:I63"/>
    <mergeCell ref="A64:I64"/>
    <mergeCell ref="A57:E57"/>
    <mergeCell ref="F57:I57"/>
    <mergeCell ref="F58:I58"/>
    <mergeCell ref="A59:G59"/>
    <mergeCell ref="H59:I59"/>
    <mergeCell ref="H60:I60"/>
    <mergeCell ref="E71:I71"/>
    <mergeCell ref="A73:B73"/>
    <mergeCell ref="C73:I73"/>
    <mergeCell ref="C74:I74"/>
    <mergeCell ref="A76:B76"/>
    <mergeCell ref="C76:I76"/>
    <mergeCell ref="A65:I65"/>
    <mergeCell ref="A66:I66"/>
    <mergeCell ref="A67:I67"/>
    <mergeCell ref="A68:I68"/>
    <mergeCell ref="A70:D70"/>
    <mergeCell ref="E70:I70"/>
    <mergeCell ref="A84:I84"/>
    <mergeCell ref="A85:I85"/>
    <mergeCell ref="A87:B87"/>
    <mergeCell ref="C87:I87"/>
    <mergeCell ref="A88:I88"/>
    <mergeCell ref="A89:I89"/>
    <mergeCell ref="C77:I77"/>
    <mergeCell ref="C78:I78"/>
    <mergeCell ref="C79:I79"/>
    <mergeCell ref="C80:I80"/>
    <mergeCell ref="C81:I81"/>
    <mergeCell ref="A83:C83"/>
  </mergeCells>
  <dataValidations count="5">
    <dataValidation type="list" allowBlank="1" showInputMessage="1" showErrorMessage="1" sqref="F40:I40" xr:uid="{00000000-0002-0000-0D00-000000000000}">
      <formula1>"выполнена, не выполнена"</formula1>
    </dataValidation>
    <dataValidation type="list" allowBlank="1" showInputMessage="1" showErrorMessage="1" sqref="F51:I51 F53:I53 F55:I55" xr:uid="{00000000-0002-0000-0D00-000001000000}">
      <formula1>"соответствует, не соотвествует"</formula1>
    </dataValidation>
    <dataValidation type="list" allowBlank="1" showInputMessage="1" showErrorMessage="1" sqref="F49:I49" xr:uid="{00000000-0002-0000-0D00-000002000000}">
      <formula1>"соответствуют, не соотвествуют"</formula1>
    </dataValidation>
    <dataValidation type="list" allowBlank="1" showInputMessage="1" showErrorMessage="1" sqref="H59:I59" xr:uid="{00000000-0002-0000-0D00-000003000000}">
      <formula1>"пригодной, непригодной"</formula1>
    </dataValidation>
    <dataValidation type="list" allowBlank="1" showInputMessage="1" showErrorMessage="1" sqref="B61:D61" xr:uid="{00000000-0002-0000-0D00-000004000000}">
      <formula1>"допущена, не допущена"</formula1>
    </dataValidation>
  </dataValidations>
  <pageMargins left="0.25" right="0.25" top="0.75" bottom="0.75" header="0.3" footer="0.3"/>
  <pageSetup paperSize="9" scale="97" orientation="portrait" r:id="rId1"/>
  <rowBreaks count="1" manualBreakCount="1">
    <brk id="39" max="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82D7-025F-4F86-A3A7-03B60873C858}">
  <sheetPr>
    <tabColor rgb="FF92D050"/>
  </sheetPr>
  <dimension ref="A1:K89"/>
  <sheetViews>
    <sheetView tabSelected="1" view="pageBreakPreview" zoomScale="60" zoomScaleNormal="100" workbookViewId="0"/>
  </sheetViews>
  <sheetFormatPr defaultColWidth="9.109375" defaultRowHeight="13.8" x14ac:dyDescent="0.25"/>
  <cols>
    <col min="1" max="1" width="9.109375" style="8"/>
    <col min="2" max="2" width="7.44140625" style="8" customWidth="1"/>
    <col min="3" max="3" width="7.5546875" style="8" customWidth="1"/>
    <col min="4" max="4" width="8.33203125" style="8" customWidth="1"/>
    <col min="5" max="5" width="17.6640625" style="8" customWidth="1"/>
    <col min="6" max="6" width="14.44140625" style="8" customWidth="1"/>
    <col min="7" max="7" width="10.6640625" style="8" customWidth="1"/>
    <col min="8" max="8" width="11.44140625" style="8" customWidth="1"/>
    <col min="9" max="9" width="11.6640625" style="8" customWidth="1"/>
    <col min="10" max="10" width="9.109375" style="8"/>
    <col min="11" max="11" width="11.109375" style="8" customWidth="1"/>
    <col min="12" max="16384" width="9.109375" style="8"/>
  </cols>
  <sheetData>
    <row r="1" spans="1:11" x14ac:dyDescent="0.25">
      <c r="H1" s="8" t="s">
        <v>5</v>
      </c>
    </row>
    <row r="2" spans="1:11" x14ac:dyDescent="0.25">
      <c r="H2" s="8" t="s">
        <v>6</v>
      </c>
    </row>
    <row r="3" spans="1:11" ht="5.25" customHeight="1" x14ac:dyDescent="0.25">
      <c r="K3" s="76"/>
    </row>
    <row r="4" spans="1:11" ht="14.4" thickBot="1" x14ac:dyDescent="0.3">
      <c r="A4" s="180" t="s">
        <v>7</v>
      </c>
      <c r="B4" s="180"/>
      <c r="C4" s="180"/>
      <c r="D4" s="180"/>
      <c r="E4" s="180"/>
      <c r="F4" s="180"/>
      <c r="G4" s="180"/>
      <c r="H4" s="180"/>
      <c r="I4" s="180"/>
      <c r="K4" s="77" t="str">
        <f ca="1">MID(CELL("имяфайла",A1),SEARCH("]",CELL("имяфайла",A1))+1,LEN(CELL("имяфайла",A1)))</f>
        <v>АВК 13</v>
      </c>
    </row>
    <row r="5" spans="1:11" ht="10.5" customHeight="1" x14ac:dyDescent="0.25">
      <c r="F5" s="181" t="s">
        <v>95</v>
      </c>
      <c r="G5" s="182"/>
      <c r="H5" s="182"/>
      <c r="I5" s="183"/>
      <c r="K5" s="78">
        <f ca="1">RIGHT(K4,LEN(K4)-4)+2</f>
        <v>15</v>
      </c>
    </row>
    <row r="6" spans="1:11" ht="14.4" thickBot="1" x14ac:dyDescent="0.3">
      <c r="F6" s="184"/>
      <c r="G6" s="185"/>
      <c r="H6" s="185"/>
      <c r="I6" s="186"/>
      <c r="K6" s="79"/>
    </row>
    <row r="7" spans="1:11" x14ac:dyDescent="0.25">
      <c r="F7" s="187" t="s">
        <v>8</v>
      </c>
      <c r="G7" s="187"/>
      <c r="H7" s="187"/>
      <c r="I7" s="187"/>
    </row>
    <row r="8" spans="1:11" ht="46.8" customHeight="1" x14ac:dyDescent="0.25">
      <c r="A8" s="8" t="s">
        <v>9</v>
      </c>
      <c r="D8" s="188" t="str">
        <f>'Жвх.к (т)'!C17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E8" s="188"/>
      <c r="F8" s="188"/>
      <c r="G8" s="188"/>
      <c r="H8" s="188"/>
      <c r="I8" s="188"/>
    </row>
    <row r="9" spans="1:11" x14ac:dyDescent="0.25">
      <c r="A9" s="189" t="s">
        <v>10</v>
      </c>
      <c r="B9" s="189"/>
      <c r="C9" s="189"/>
      <c r="D9" s="190" t="s">
        <v>96</v>
      </c>
      <c r="E9" s="190"/>
      <c r="F9" s="190"/>
      <c r="G9" s="190"/>
      <c r="H9" s="190"/>
      <c r="I9" s="190"/>
    </row>
    <row r="11" spans="1:11" x14ac:dyDescent="0.25">
      <c r="A11" s="180" t="str">
        <f ca="1">CONCATENATE("АКТ № ",INDIRECT("'Форма журнала'!R"&amp;K5&amp;"C2",0))</f>
        <v>АКТ № 9</v>
      </c>
      <c r="B11" s="180"/>
      <c r="C11" s="180"/>
      <c r="D11" s="180"/>
      <c r="E11" s="180"/>
      <c r="F11" s="180"/>
      <c r="G11" s="180"/>
      <c r="H11" s="180"/>
      <c r="I11" s="180"/>
    </row>
    <row r="12" spans="1:11" x14ac:dyDescent="0.25">
      <c r="A12" s="180" t="s">
        <v>11</v>
      </c>
      <c r="B12" s="180"/>
      <c r="C12" s="180"/>
      <c r="D12" s="180"/>
      <c r="E12" s="180"/>
      <c r="F12" s="180"/>
      <c r="G12" s="180"/>
      <c r="H12" s="180"/>
      <c r="I12" s="180"/>
    </row>
    <row r="13" spans="1:11" x14ac:dyDescent="0.25">
      <c r="A13" s="172"/>
      <c r="B13" s="172"/>
      <c r="G13" s="193">
        <f ca="1">INDIRECT("'Форма журнала'!R"&amp;K5&amp;"C3",0)</f>
        <v>45607</v>
      </c>
      <c r="H13" s="193"/>
      <c r="I13" s="193"/>
    </row>
    <row r="14" spans="1:11" x14ac:dyDescent="0.25">
      <c r="A14" s="191" t="s">
        <v>12</v>
      </c>
      <c r="B14" s="191"/>
    </row>
    <row r="15" spans="1:11" x14ac:dyDescent="0.25">
      <c r="A15" s="8" t="s">
        <v>13</v>
      </c>
      <c r="C15" s="192" t="str">
        <f>'Жвх.к (т)'!B7</f>
        <v>ООО «СЭТ»</v>
      </c>
      <c r="D15" s="192"/>
      <c r="E15" s="192"/>
      <c r="F15" s="41" t="s">
        <v>523</v>
      </c>
      <c r="G15" s="41"/>
      <c r="H15" s="41"/>
      <c r="I15" s="41"/>
    </row>
    <row r="16" spans="1:11" x14ac:dyDescent="0.25">
      <c r="C16" s="19" t="s">
        <v>22</v>
      </c>
    </row>
    <row r="17" spans="1:9" x14ac:dyDescent="0.25">
      <c r="A17" s="8" t="s">
        <v>34</v>
      </c>
      <c r="C17" s="19"/>
    </row>
    <row r="18" spans="1:9" ht="30.75" customHeight="1" x14ac:dyDescent="0.3">
      <c r="A18" s="179" t="str">
        <f>CONCATENATE(ПОДПИСИ!B7," ",ПОДПИСИ!C7)</f>
        <v>Директор по строительству ООО «СЭТ» Потоцкий А.А.</v>
      </c>
      <c r="B18" s="179"/>
      <c r="C18" s="179"/>
      <c r="D18" s="179"/>
      <c r="E18" s="179"/>
      <c r="F18" s="179"/>
      <c r="G18" s="179"/>
      <c r="H18" s="179"/>
      <c r="I18" s="179"/>
    </row>
    <row r="19" spans="1:9" x14ac:dyDescent="0.25">
      <c r="A19" s="8" t="s">
        <v>23</v>
      </c>
    </row>
    <row r="20" spans="1:9" x14ac:dyDescent="0.25">
      <c r="B20" s="174" t="str">
        <f>CONCATENATE(ПОДПИСИ!B9," ",ПОДПИСИ!C9)</f>
        <v>Начальник участка ООО «СЭТ» Нугуманов М.А.</v>
      </c>
      <c r="C20" s="174"/>
      <c r="D20" s="174"/>
      <c r="E20" s="174"/>
      <c r="F20" s="174"/>
      <c r="G20" s="174"/>
      <c r="H20" s="174"/>
      <c r="I20" s="174"/>
    </row>
    <row r="21" spans="1:9" ht="9" customHeight="1" x14ac:dyDescent="0.25">
      <c r="B21" s="173" t="s">
        <v>24</v>
      </c>
      <c r="C21" s="173"/>
      <c r="D21" s="173"/>
      <c r="E21" s="173"/>
      <c r="F21" s="173"/>
      <c r="G21" s="173"/>
      <c r="H21" s="173"/>
      <c r="I21" s="173"/>
    </row>
    <row r="22" spans="1:9" ht="30.75" customHeight="1" x14ac:dyDescent="0.25">
      <c r="B22" s="174" t="str">
        <f>CONCATENATE(ПОДПИСИ!B11," ",ПОДПИСИ!C11)</f>
        <v>Ведущий инженер строительного контроля ООО «СЭТ» Кольцов А.Г.</v>
      </c>
      <c r="C22" s="174"/>
      <c r="D22" s="174"/>
      <c r="E22" s="174"/>
      <c r="F22" s="174"/>
      <c r="G22" s="174"/>
      <c r="H22" s="174"/>
      <c r="I22" s="174"/>
    </row>
    <row r="23" spans="1:9" ht="11.25" customHeight="1" x14ac:dyDescent="0.25">
      <c r="B23" s="173" t="s">
        <v>24</v>
      </c>
      <c r="C23" s="173"/>
      <c r="D23" s="173"/>
      <c r="E23" s="173"/>
      <c r="F23" s="173"/>
      <c r="G23" s="173"/>
      <c r="H23" s="173"/>
      <c r="I23" s="173"/>
    </row>
    <row r="24" spans="1:9" x14ac:dyDescent="0.25">
      <c r="B24" s="172"/>
      <c r="C24" s="172"/>
      <c r="D24" s="172"/>
      <c r="E24" s="172"/>
      <c r="F24" s="172"/>
      <c r="G24" s="172"/>
      <c r="H24" s="172"/>
      <c r="I24" s="172"/>
    </row>
    <row r="25" spans="1:9" ht="10.5" customHeight="1" x14ac:dyDescent="0.25">
      <c r="B25" s="173" t="s">
        <v>24</v>
      </c>
      <c r="C25" s="173"/>
      <c r="D25" s="173"/>
      <c r="E25" s="173"/>
      <c r="F25" s="173"/>
      <c r="G25" s="173"/>
      <c r="H25" s="173"/>
      <c r="I25" s="173"/>
    </row>
    <row r="26" spans="1:9" x14ac:dyDescent="0.25">
      <c r="A26" s="8" t="s">
        <v>25</v>
      </c>
    </row>
    <row r="27" spans="1:9" ht="44.25" customHeight="1" x14ac:dyDescent="0.25">
      <c r="A27" s="174" t="s">
        <v>102</v>
      </c>
      <c r="B27" s="174"/>
      <c r="C27" s="174"/>
      <c r="D27" s="174"/>
      <c r="E27" s="174"/>
      <c r="F27" s="174"/>
      <c r="G27" s="174"/>
      <c r="H27" s="174"/>
      <c r="I27" s="174"/>
    </row>
    <row r="28" spans="1:9" x14ac:dyDescent="0.25">
      <c r="A28" s="175" t="s">
        <v>26</v>
      </c>
      <c r="B28" s="175"/>
      <c r="C28" s="175"/>
      <c r="D28" s="175"/>
      <c r="E28" s="175"/>
      <c r="F28" s="175"/>
      <c r="G28" s="175"/>
      <c r="H28" s="175"/>
      <c r="I28" s="175"/>
    </row>
    <row r="29" spans="1:9" x14ac:dyDescent="0.25">
      <c r="A29" s="176" t="s">
        <v>27</v>
      </c>
      <c r="B29" s="176"/>
      <c r="C29" s="176"/>
      <c r="D29" s="176"/>
      <c r="E29" s="176"/>
      <c r="F29" s="176"/>
      <c r="G29" s="176"/>
      <c r="H29" s="176"/>
      <c r="I29" s="176"/>
    </row>
    <row r="30" spans="1:9" x14ac:dyDescent="0.25">
      <c r="A30" s="177" t="s">
        <v>28</v>
      </c>
      <c r="B30" s="177"/>
      <c r="C30" s="177"/>
      <c r="D30" s="177"/>
      <c r="E30" s="177"/>
      <c r="F30" s="177"/>
      <c r="G30" s="177"/>
      <c r="H30" s="177"/>
      <c r="I30" s="177"/>
    </row>
    <row r="31" spans="1:9" x14ac:dyDescent="0.25">
      <c r="A31" s="174" t="str">
        <f ca="1">INDIRECT("'Форма журнала'!R"&amp;K5&amp;"C4",0)</f>
        <v>Траверса ТМ67</v>
      </c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5" t="s">
        <v>29</v>
      </c>
      <c r="B32" s="175"/>
      <c r="C32" s="175"/>
      <c r="D32" s="175"/>
      <c r="E32" s="175"/>
      <c r="F32" s="175"/>
      <c r="G32" s="175"/>
      <c r="H32" s="175"/>
      <c r="I32" s="175"/>
    </row>
    <row r="33" spans="1:11" x14ac:dyDescent="0.25">
      <c r="A33" s="178" t="s">
        <v>30</v>
      </c>
      <c r="B33" s="178"/>
      <c r="C33" s="178"/>
      <c r="D33" s="178"/>
      <c r="E33" s="178"/>
      <c r="F33" s="178"/>
      <c r="G33" s="178"/>
      <c r="H33" s="178"/>
      <c r="I33" s="178"/>
    </row>
    <row r="34" spans="1:11" ht="24" customHeight="1" x14ac:dyDescent="0.25">
      <c r="A34" s="194" t="str">
        <f ca="1">INDIRECT("'Форма журнала'!R"&amp;K5&amp;"C7",0)</f>
        <v>Сертификат соответствия №РОСС RU.НЕ06.Н05218 от 12.04.2023 сроком действия до 11.04.2026</v>
      </c>
      <c r="B34" s="194"/>
      <c r="C34" s="194"/>
      <c r="D34" s="194"/>
      <c r="E34" s="194"/>
      <c r="F34" s="20" t="s">
        <v>31</v>
      </c>
      <c r="G34" s="195"/>
      <c r="H34" s="195"/>
      <c r="I34" s="195"/>
    </row>
    <row r="35" spans="1:11" x14ac:dyDescent="0.25">
      <c r="A35" s="175" t="s">
        <v>33</v>
      </c>
      <c r="B35" s="175"/>
      <c r="C35" s="175"/>
      <c r="D35" s="175"/>
      <c r="E35" s="175"/>
      <c r="F35" s="21"/>
      <c r="G35" s="175" t="s">
        <v>32</v>
      </c>
      <c r="H35" s="175"/>
      <c r="I35" s="175"/>
    </row>
    <row r="36" spans="1:11" x14ac:dyDescent="0.25">
      <c r="A36" s="177" t="s">
        <v>104</v>
      </c>
      <c r="B36" s="177"/>
      <c r="C36" s="192" t="str">
        <f ca="1">INDIRECT("'Форма журнала'!R"&amp;K5&amp;"C5",0)</f>
        <v>1 шт.</v>
      </c>
      <c r="D36" s="192"/>
      <c r="E36" s="192"/>
      <c r="F36" s="26" t="s">
        <v>68</v>
      </c>
      <c r="G36" s="196"/>
      <c r="H36" s="196"/>
      <c r="I36" s="196"/>
    </row>
    <row r="37" spans="1:11" x14ac:dyDescent="0.25">
      <c r="A37" s="21"/>
      <c r="B37" s="21"/>
      <c r="C37" s="175" t="s">
        <v>35</v>
      </c>
      <c r="D37" s="175"/>
      <c r="E37" s="175"/>
      <c r="F37" s="21"/>
      <c r="G37" s="191" t="s">
        <v>36</v>
      </c>
      <c r="H37" s="191"/>
      <c r="I37" s="191"/>
    </row>
    <row r="38" spans="1:11" ht="26.4" customHeight="1" x14ac:dyDescent="0.25">
      <c r="A38" s="177" t="s">
        <v>37</v>
      </c>
      <c r="B38" s="177"/>
      <c r="C38" s="174" t="str">
        <f ca="1">INDIRECT("'Форма журнала'!R"&amp;K5&amp;"C6",0)</f>
        <v>ООО "НИЛЕД"</v>
      </c>
      <c r="D38" s="174"/>
      <c r="E38" s="174"/>
      <c r="F38" s="20" t="s">
        <v>38</v>
      </c>
      <c r="G38" s="195"/>
      <c r="H38" s="195"/>
      <c r="I38" s="195"/>
      <c r="K38" s="28"/>
    </row>
    <row r="39" spans="1:11" x14ac:dyDescent="0.25">
      <c r="A39" s="22"/>
      <c r="B39" s="22"/>
      <c r="C39" s="175" t="s">
        <v>39</v>
      </c>
      <c r="D39" s="175"/>
      <c r="E39" s="175"/>
      <c r="F39" s="20"/>
      <c r="G39" s="191" t="s">
        <v>40</v>
      </c>
      <c r="H39" s="191"/>
      <c r="I39" s="191"/>
    </row>
    <row r="40" spans="1:11" x14ac:dyDescent="0.25">
      <c r="A40" s="22" t="s">
        <v>41</v>
      </c>
      <c r="B40" s="22"/>
      <c r="C40" s="21"/>
      <c r="D40" s="21"/>
      <c r="E40" s="21"/>
      <c r="F40" s="197" t="s">
        <v>101</v>
      </c>
      <c r="G40" s="197"/>
      <c r="H40" s="197"/>
      <c r="I40" s="197"/>
    </row>
    <row r="41" spans="1:11" x14ac:dyDescent="0.25">
      <c r="F41" s="198" t="s">
        <v>42</v>
      </c>
      <c r="G41" s="198"/>
      <c r="H41" s="198"/>
      <c r="I41" s="198"/>
    </row>
    <row r="42" spans="1:11" x14ac:dyDescent="0.25">
      <c r="A42" s="199" t="s">
        <v>43</v>
      </c>
      <c r="B42" s="199"/>
      <c r="C42" s="199"/>
      <c r="D42" s="199"/>
      <c r="E42" s="199"/>
      <c r="F42" s="199"/>
      <c r="G42" s="199"/>
      <c r="H42" s="199"/>
      <c r="I42" s="199"/>
    </row>
    <row r="43" spans="1:11" ht="30" customHeight="1" x14ac:dyDescent="0.25">
      <c r="A43" s="202" t="s">
        <v>14</v>
      </c>
      <c r="B43" s="202"/>
      <c r="C43" s="202"/>
      <c r="D43" s="202"/>
      <c r="E43" s="202" t="s">
        <v>17</v>
      </c>
      <c r="F43" s="202" t="s">
        <v>18</v>
      </c>
      <c r="G43" s="202" t="s">
        <v>19</v>
      </c>
      <c r="H43" s="202" t="s">
        <v>20</v>
      </c>
      <c r="I43" s="202" t="s">
        <v>21</v>
      </c>
    </row>
    <row r="44" spans="1:11" ht="32.25" customHeight="1" x14ac:dyDescent="0.25">
      <c r="A44" s="202" t="s">
        <v>15</v>
      </c>
      <c r="B44" s="202"/>
      <c r="C44" s="202" t="s">
        <v>16</v>
      </c>
      <c r="D44" s="202"/>
      <c r="E44" s="202"/>
      <c r="F44" s="202"/>
      <c r="G44" s="202"/>
      <c r="H44" s="202"/>
      <c r="I44" s="202"/>
    </row>
    <row r="45" spans="1:11" x14ac:dyDescent="0.25">
      <c r="A45" s="201">
        <v>1</v>
      </c>
      <c r="B45" s="201"/>
      <c r="C45" s="201">
        <v>2</v>
      </c>
      <c r="D45" s="201"/>
      <c r="E45" s="23">
        <v>3</v>
      </c>
      <c r="F45" s="23">
        <v>4</v>
      </c>
      <c r="G45" s="23">
        <v>5</v>
      </c>
      <c r="H45" s="23">
        <v>6</v>
      </c>
      <c r="I45" s="23">
        <v>7</v>
      </c>
    </row>
    <row r="46" spans="1:11" x14ac:dyDescent="0.25">
      <c r="A46" s="24" t="str">
        <f ca="1">C36</f>
        <v>1 шт.</v>
      </c>
      <c r="B46" s="24"/>
      <c r="C46" s="24"/>
      <c r="D46" s="24"/>
      <c r="E46" s="24"/>
      <c r="F46" s="24"/>
      <c r="G46" s="24"/>
      <c r="H46" s="24"/>
      <c r="I46" s="24" t="s">
        <v>127</v>
      </c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00" t="s">
        <v>44</v>
      </c>
      <c r="B48" s="200"/>
      <c r="C48" s="200"/>
      <c r="D48" s="200"/>
      <c r="E48" s="200"/>
      <c r="F48" s="200"/>
      <c r="G48" s="200"/>
      <c r="H48" s="200"/>
      <c r="I48" s="200"/>
    </row>
    <row r="49" spans="1:9" x14ac:dyDescent="0.25">
      <c r="A49" s="189" t="s">
        <v>45</v>
      </c>
      <c r="B49" s="189"/>
      <c r="C49" s="189"/>
      <c r="D49" s="189"/>
      <c r="E49" s="189"/>
      <c r="F49" s="192" t="s">
        <v>97</v>
      </c>
      <c r="G49" s="192"/>
      <c r="H49" s="192"/>
      <c r="I49" s="192"/>
    </row>
    <row r="50" spans="1:9" ht="10.5" customHeight="1" x14ac:dyDescent="0.25">
      <c r="A50" s="25"/>
      <c r="B50" s="25"/>
      <c r="C50" s="25"/>
      <c r="D50" s="25"/>
      <c r="E50" s="25"/>
      <c r="F50" s="198" t="s">
        <v>47</v>
      </c>
      <c r="G50" s="198"/>
      <c r="H50" s="198"/>
      <c r="I50" s="198"/>
    </row>
    <row r="51" spans="1:9" ht="15" customHeight="1" x14ac:dyDescent="0.25">
      <c r="A51" s="189" t="s">
        <v>46</v>
      </c>
      <c r="B51" s="189"/>
      <c r="C51" s="189"/>
      <c r="D51" s="189"/>
      <c r="E51" s="189"/>
      <c r="F51" s="192" t="s">
        <v>95</v>
      </c>
      <c r="G51" s="192"/>
      <c r="H51" s="192"/>
      <c r="I51" s="192"/>
    </row>
    <row r="52" spans="1:9" ht="12.75" customHeight="1" x14ac:dyDescent="0.25">
      <c r="F52" s="198" t="s">
        <v>48</v>
      </c>
      <c r="G52" s="198"/>
      <c r="H52" s="198"/>
      <c r="I52" s="198"/>
    </row>
    <row r="53" spans="1:9" x14ac:dyDescent="0.25">
      <c r="A53" s="189" t="s">
        <v>49</v>
      </c>
      <c r="B53" s="189"/>
      <c r="C53" s="189"/>
      <c r="D53" s="189"/>
      <c r="E53" s="189"/>
      <c r="F53" s="192" t="s">
        <v>95</v>
      </c>
      <c r="G53" s="192"/>
      <c r="H53" s="192"/>
      <c r="I53" s="192"/>
    </row>
    <row r="54" spans="1:9" ht="11.25" customHeight="1" x14ac:dyDescent="0.25">
      <c r="F54" s="198" t="s">
        <v>48</v>
      </c>
      <c r="G54" s="198"/>
      <c r="H54" s="198"/>
      <c r="I54" s="198"/>
    </row>
    <row r="55" spans="1:9" x14ac:dyDescent="0.25">
      <c r="A55" s="189" t="s">
        <v>50</v>
      </c>
      <c r="B55" s="189"/>
      <c r="C55" s="189"/>
      <c r="D55" s="189"/>
      <c r="E55" s="189"/>
      <c r="F55" s="192" t="s">
        <v>95</v>
      </c>
      <c r="G55" s="192"/>
      <c r="H55" s="192"/>
      <c r="I55" s="192"/>
    </row>
    <row r="56" spans="1:9" ht="10.5" customHeight="1" x14ac:dyDescent="0.25">
      <c r="F56" s="198" t="s">
        <v>48</v>
      </c>
      <c r="G56" s="198"/>
      <c r="H56" s="198"/>
      <c r="I56" s="198"/>
    </row>
    <row r="57" spans="1:9" ht="15" customHeight="1" x14ac:dyDescent="0.25">
      <c r="A57" s="189" t="s">
        <v>51</v>
      </c>
      <c r="B57" s="189"/>
      <c r="C57" s="189"/>
      <c r="D57" s="189"/>
      <c r="E57" s="189"/>
      <c r="F57" s="192" t="str">
        <f ca="1">IF(OR(INDIRECT("'Форма журнала'!R"&amp;K5&amp;"C13",0)="",INDIRECT("'Форма журнала'!R"&amp;K5&amp;"C13",0)=0),"отсутствует",INDIRECT("'Форма журнала'!R"&amp;K5&amp;"C13",0))</f>
        <v>Отсутствует</v>
      </c>
      <c r="G57" s="192"/>
      <c r="H57" s="192"/>
      <c r="I57" s="192"/>
    </row>
    <row r="58" spans="1:9" ht="9.75" customHeight="1" x14ac:dyDescent="0.25">
      <c r="F58" s="198" t="s">
        <v>48</v>
      </c>
      <c r="G58" s="198"/>
      <c r="H58" s="198"/>
      <c r="I58" s="198"/>
    </row>
    <row r="59" spans="1:9" x14ac:dyDescent="0.25">
      <c r="A59" s="189" t="s">
        <v>52</v>
      </c>
      <c r="B59" s="189"/>
      <c r="C59" s="189"/>
      <c r="D59" s="189"/>
      <c r="E59" s="189"/>
      <c r="F59" s="189"/>
      <c r="G59" s="189"/>
      <c r="H59" s="192" t="s">
        <v>98</v>
      </c>
      <c r="I59" s="192"/>
    </row>
    <row r="60" spans="1:9" x14ac:dyDescent="0.25">
      <c r="H60" s="203" t="s">
        <v>53</v>
      </c>
      <c r="I60" s="203"/>
    </row>
    <row r="61" spans="1:9" x14ac:dyDescent="0.25">
      <c r="A61" s="8" t="s">
        <v>54</v>
      </c>
      <c r="B61" s="192" t="s">
        <v>99</v>
      </c>
      <c r="C61" s="192"/>
      <c r="D61" s="192"/>
      <c r="E61" s="8" t="s">
        <v>55</v>
      </c>
      <c r="F61" s="192" t="s">
        <v>100</v>
      </c>
      <c r="G61" s="192"/>
      <c r="H61" s="192"/>
      <c r="I61" s="192"/>
    </row>
    <row r="62" spans="1:9" x14ac:dyDescent="0.25">
      <c r="B62" s="203" t="s">
        <v>57</v>
      </c>
      <c r="C62" s="203"/>
      <c r="D62" s="203"/>
      <c r="F62" s="198" t="s">
        <v>56</v>
      </c>
      <c r="G62" s="198"/>
      <c r="H62" s="198"/>
      <c r="I62" s="198"/>
    </row>
    <row r="63" spans="1:9" x14ac:dyDescent="0.25">
      <c r="A63" s="189" t="s">
        <v>58</v>
      </c>
      <c r="B63" s="189"/>
      <c r="C63" s="189"/>
      <c r="D63" s="189"/>
      <c r="E63" s="189"/>
      <c r="F63" s="189"/>
      <c r="G63" s="189"/>
      <c r="H63" s="189"/>
      <c r="I63" s="189"/>
    </row>
    <row r="64" spans="1:9" x14ac:dyDescent="0.25">
      <c r="A64" s="172"/>
      <c r="B64" s="172"/>
      <c r="C64" s="172"/>
      <c r="D64" s="172"/>
      <c r="E64" s="172"/>
      <c r="F64" s="172"/>
      <c r="G64" s="172"/>
      <c r="H64" s="172"/>
      <c r="I64" s="172"/>
    </row>
    <row r="65" spans="1:9" ht="11.25" customHeight="1" x14ac:dyDescent="0.25">
      <c r="A65" s="198" t="s">
        <v>59</v>
      </c>
      <c r="B65" s="198"/>
      <c r="C65" s="198"/>
      <c r="D65" s="198"/>
      <c r="E65" s="198"/>
      <c r="F65" s="198"/>
      <c r="G65" s="198"/>
      <c r="H65" s="198"/>
      <c r="I65" s="198"/>
    </row>
    <row r="66" spans="1:9" x14ac:dyDescent="0.25">
      <c r="A66" s="172"/>
      <c r="B66" s="172"/>
      <c r="C66" s="172"/>
      <c r="D66" s="172"/>
      <c r="E66" s="172"/>
      <c r="F66" s="172"/>
      <c r="G66" s="172"/>
      <c r="H66" s="172"/>
      <c r="I66" s="172"/>
    </row>
    <row r="67" spans="1:9" ht="12" customHeight="1" x14ac:dyDescent="0.25">
      <c r="A67" s="198" t="s">
        <v>60</v>
      </c>
      <c r="B67" s="198"/>
      <c r="C67" s="198"/>
      <c r="D67" s="198"/>
      <c r="E67" s="198"/>
      <c r="F67" s="198"/>
      <c r="G67" s="198"/>
      <c r="H67" s="198"/>
      <c r="I67" s="198"/>
    </row>
    <row r="68" spans="1:9" x14ac:dyDescent="0.25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ht="8.25" customHeight="1" x14ac:dyDescent="0.25"/>
    <row r="70" spans="1:9" x14ac:dyDescent="0.25">
      <c r="A70" s="204" t="s">
        <v>61</v>
      </c>
      <c r="B70" s="204"/>
      <c r="C70" s="204"/>
      <c r="D70" s="204"/>
      <c r="E70" s="172"/>
      <c r="F70" s="172"/>
      <c r="G70" s="172"/>
      <c r="H70" s="172"/>
      <c r="I70" s="172"/>
    </row>
    <row r="71" spans="1:9" ht="12.75" customHeight="1" x14ac:dyDescent="0.25">
      <c r="E71" s="198" t="s">
        <v>62</v>
      </c>
      <c r="F71" s="198"/>
      <c r="G71" s="198"/>
      <c r="H71" s="198"/>
      <c r="I71" s="198"/>
    </row>
    <row r="73" spans="1:9" ht="28.5" customHeight="1" x14ac:dyDescent="0.25">
      <c r="A73" s="189" t="s">
        <v>63</v>
      </c>
      <c r="B73" s="189"/>
      <c r="C73" s="174" t="str">
        <f>A18</f>
        <v>Директор по строительству ООО «СЭТ» Потоцкий А.А.</v>
      </c>
      <c r="D73" s="174"/>
      <c r="E73" s="174"/>
      <c r="F73" s="174"/>
      <c r="G73" s="174"/>
      <c r="H73" s="174"/>
      <c r="I73" s="174"/>
    </row>
    <row r="74" spans="1:9" ht="12" customHeight="1" x14ac:dyDescent="0.25">
      <c r="C74" s="198" t="s">
        <v>64</v>
      </c>
      <c r="D74" s="198"/>
      <c r="E74" s="198"/>
      <c r="F74" s="198"/>
      <c r="G74" s="198"/>
      <c r="H74" s="198"/>
      <c r="I74" s="198"/>
    </row>
    <row r="76" spans="1:9" x14ac:dyDescent="0.25">
      <c r="A76" s="189" t="s">
        <v>65</v>
      </c>
      <c r="B76" s="189"/>
      <c r="C76" s="174" t="str">
        <f>B20</f>
        <v>Начальник участка ООО «СЭТ» Нугуманов М.А.</v>
      </c>
      <c r="D76" s="174"/>
      <c r="E76" s="174"/>
      <c r="F76" s="174"/>
      <c r="G76" s="174"/>
      <c r="H76" s="174"/>
      <c r="I76" s="174"/>
    </row>
    <row r="77" spans="1:9" ht="11.25" customHeight="1" x14ac:dyDescent="0.25">
      <c r="C77" s="173" t="s">
        <v>64</v>
      </c>
      <c r="D77" s="173"/>
      <c r="E77" s="173"/>
      <c r="F77" s="173"/>
      <c r="G77" s="173"/>
      <c r="H77" s="173"/>
      <c r="I77" s="173"/>
    </row>
    <row r="78" spans="1:9" ht="28.5" customHeight="1" x14ac:dyDescent="0.25">
      <c r="C78" s="174" t="str">
        <f>B22</f>
        <v>Ведущий инженер строительного контроля ООО «СЭТ» Кольцов А.Г.</v>
      </c>
      <c r="D78" s="174"/>
      <c r="E78" s="174"/>
      <c r="F78" s="174"/>
      <c r="G78" s="174"/>
      <c r="H78" s="174"/>
      <c r="I78" s="174"/>
    </row>
    <row r="79" spans="1:9" ht="12" customHeight="1" x14ac:dyDescent="0.25">
      <c r="C79" s="173" t="s">
        <v>64</v>
      </c>
      <c r="D79" s="173"/>
      <c r="E79" s="173"/>
      <c r="F79" s="173"/>
      <c r="G79" s="173"/>
      <c r="H79" s="173"/>
      <c r="I79" s="173"/>
    </row>
    <row r="80" spans="1:9" x14ac:dyDescent="0.25">
      <c r="C80" s="172"/>
      <c r="D80" s="172"/>
      <c r="E80" s="172"/>
      <c r="F80" s="172"/>
      <c r="G80" s="172"/>
      <c r="H80" s="172"/>
      <c r="I80" s="172"/>
    </row>
    <row r="81" spans="1:9" x14ac:dyDescent="0.25">
      <c r="C81" s="173" t="s">
        <v>64</v>
      </c>
      <c r="D81" s="173"/>
      <c r="E81" s="173"/>
      <c r="F81" s="173"/>
      <c r="G81" s="173"/>
      <c r="H81" s="173"/>
      <c r="I81" s="173"/>
    </row>
    <row r="83" spans="1:9" x14ac:dyDescent="0.25">
      <c r="A83" s="189" t="s">
        <v>66</v>
      </c>
      <c r="B83" s="189"/>
      <c r="C83" s="189"/>
    </row>
    <row r="84" spans="1:9" x14ac:dyDescent="0.25">
      <c r="A84" s="192" t="str">
        <f>CONCATENATE(ПОДПИСИ!B13," ",ПОДПИСИ!C13)</f>
        <v>Ведущий инженер отдела строительного контроля АО "ЛЭСР" Сафуанова В.А.</v>
      </c>
      <c r="B84" s="192"/>
      <c r="C84" s="192"/>
      <c r="D84" s="192"/>
      <c r="E84" s="192"/>
      <c r="F84" s="192"/>
      <c r="G84" s="192"/>
      <c r="H84" s="192"/>
      <c r="I84" s="192"/>
    </row>
    <row r="85" spans="1:9" x14ac:dyDescent="0.25">
      <c r="A85" s="191" t="s">
        <v>64</v>
      </c>
      <c r="B85" s="191"/>
      <c r="C85" s="191"/>
      <c r="D85" s="191"/>
      <c r="E85" s="191"/>
      <c r="F85" s="191"/>
      <c r="G85" s="191"/>
      <c r="H85" s="191"/>
      <c r="I85" s="191"/>
    </row>
    <row r="87" spans="1:9" x14ac:dyDescent="0.25">
      <c r="A87" s="189" t="s">
        <v>67</v>
      </c>
      <c r="B87" s="189"/>
      <c r="C87" s="172"/>
      <c r="D87" s="172"/>
      <c r="E87" s="172"/>
      <c r="F87" s="172"/>
      <c r="G87" s="172"/>
      <c r="H87" s="172"/>
      <c r="I87" s="172"/>
    </row>
    <row r="88" spans="1:9" x14ac:dyDescent="0.25">
      <c r="A88" s="172"/>
      <c r="B88" s="172"/>
      <c r="C88" s="172"/>
      <c r="D88" s="172"/>
      <c r="E88" s="172"/>
      <c r="F88" s="172"/>
      <c r="G88" s="172"/>
      <c r="H88" s="172"/>
      <c r="I88" s="172"/>
    </row>
    <row r="89" spans="1:9" x14ac:dyDescent="0.25">
      <c r="A89" s="205"/>
      <c r="B89" s="205"/>
      <c r="C89" s="205"/>
      <c r="D89" s="205"/>
      <c r="E89" s="205"/>
      <c r="F89" s="205"/>
      <c r="G89" s="205"/>
      <c r="H89" s="205"/>
      <c r="I89" s="205"/>
    </row>
  </sheetData>
  <mergeCells count="102">
    <mergeCell ref="A84:I84"/>
    <mergeCell ref="A85:I85"/>
    <mergeCell ref="A87:B87"/>
    <mergeCell ref="C87:I87"/>
    <mergeCell ref="A88:I88"/>
    <mergeCell ref="A89:I89"/>
    <mergeCell ref="C77:I77"/>
    <mergeCell ref="C78:I78"/>
    <mergeCell ref="C79:I79"/>
    <mergeCell ref="C80:I80"/>
    <mergeCell ref="C81:I81"/>
    <mergeCell ref="A83:C83"/>
    <mergeCell ref="E71:I71"/>
    <mergeCell ref="A73:B73"/>
    <mergeCell ref="C73:I73"/>
    <mergeCell ref="C74:I74"/>
    <mergeCell ref="A76:B76"/>
    <mergeCell ref="C76:I76"/>
    <mergeCell ref="A65:I65"/>
    <mergeCell ref="A66:I66"/>
    <mergeCell ref="A67:I67"/>
    <mergeCell ref="A68:I68"/>
    <mergeCell ref="A70:D70"/>
    <mergeCell ref="E70:I70"/>
    <mergeCell ref="B61:D61"/>
    <mergeCell ref="F61:I61"/>
    <mergeCell ref="B62:D62"/>
    <mergeCell ref="F62:I62"/>
    <mergeCell ref="A63:I63"/>
    <mergeCell ref="A64:I64"/>
    <mergeCell ref="A57:E57"/>
    <mergeCell ref="F57:I57"/>
    <mergeCell ref="F58:I58"/>
    <mergeCell ref="A59:G59"/>
    <mergeCell ref="H59:I59"/>
    <mergeCell ref="H60:I60"/>
    <mergeCell ref="A53:E53"/>
    <mergeCell ref="F53:I53"/>
    <mergeCell ref="F54:I54"/>
    <mergeCell ref="A55:E55"/>
    <mergeCell ref="F55:I55"/>
    <mergeCell ref="F56:I56"/>
    <mergeCell ref="A49:E49"/>
    <mergeCell ref="F49:I49"/>
    <mergeCell ref="F50:I50"/>
    <mergeCell ref="A51:E51"/>
    <mergeCell ref="F51:I51"/>
    <mergeCell ref="F52:I52"/>
    <mergeCell ref="I43:I44"/>
    <mergeCell ref="A44:B44"/>
    <mergeCell ref="C44:D44"/>
    <mergeCell ref="A45:B45"/>
    <mergeCell ref="C45:D45"/>
    <mergeCell ref="A48:I48"/>
    <mergeCell ref="C39:E39"/>
    <mergeCell ref="G39:I39"/>
    <mergeCell ref="F40:I40"/>
    <mergeCell ref="F41:I41"/>
    <mergeCell ref="A42:I42"/>
    <mergeCell ref="A43:D43"/>
    <mergeCell ref="E43:E44"/>
    <mergeCell ref="F43:F44"/>
    <mergeCell ref="G43:G44"/>
    <mergeCell ref="H43:H44"/>
    <mergeCell ref="A36:B36"/>
    <mergeCell ref="C36:E36"/>
    <mergeCell ref="G36:I36"/>
    <mergeCell ref="C37:E37"/>
    <mergeCell ref="G37:I37"/>
    <mergeCell ref="A38:B38"/>
    <mergeCell ref="C38:E38"/>
    <mergeCell ref="G38:I38"/>
    <mergeCell ref="A32:I32"/>
    <mergeCell ref="A33:I33"/>
    <mergeCell ref="A34:E34"/>
    <mergeCell ref="G34:I34"/>
    <mergeCell ref="A35:E35"/>
    <mergeCell ref="G35:I35"/>
    <mergeCell ref="B25:I25"/>
    <mergeCell ref="A27:I27"/>
    <mergeCell ref="A28:I28"/>
    <mergeCell ref="A29:I29"/>
    <mergeCell ref="A30:I30"/>
    <mergeCell ref="A31:I31"/>
    <mergeCell ref="A18:I18"/>
    <mergeCell ref="B20:I20"/>
    <mergeCell ref="B21:I21"/>
    <mergeCell ref="B22:I22"/>
    <mergeCell ref="B23:I23"/>
    <mergeCell ref="B24:I24"/>
    <mergeCell ref="A11:I11"/>
    <mergeCell ref="A12:I12"/>
    <mergeCell ref="A13:B13"/>
    <mergeCell ref="G13:I13"/>
    <mergeCell ref="A14:B14"/>
    <mergeCell ref="C15:E15"/>
    <mergeCell ref="A4:I4"/>
    <mergeCell ref="F5:I6"/>
    <mergeCell ref="F7:I7"/>
    <mergeCell ref="D8:I8"/>
    <mergeCell ref="A9:C9"/>
    <mergeCell ref="D9:I9"/>
  </mergeCells>
  <dataValidations count="5">
    <dataValidation type="list" allowBlank="1" showInputMessage="1" showErrorMessage="1" sqref="F40:I40" xr:uid="{E4E512A7-DD6A-42C9-B8F5-D76B9120C113}">
      <formula1>"выполнена, не выполнена"</formula1>
    </dataValidation>
    <dataValidation type="list" allowBlank="1" showInputMessage="1" showErrorMessage="1" sqref="F51:I51 F53:I53 F55:I55" xr:uid="{04A693F9-DF61-41E7-B3EA-C3FAECC125DC}">
      <formula1>"соответствует, не соотвествует"</formula1>
    </dataValidation>
    <dataValidation type="list" allowBlank="1" showInputMessage="1" showErrorMessage="1" sqref="F49:I49" xr:uid="{2CFE8665-FC4C-46C2-8654-B7FC2BFC96F4}">
      <formula1>"соответствуют, не соотвествуют"</formula1>
    </dataValidation>
    <dataValidation type="list" allowBlank="1" showInputMessage="1" showErrorMessage="1" sqref="H59:I59" xr:uid="{0692F639-2E68-4C80-94F8-FA03B519286E}">
      <formula1>"пригодной, непригодной"</formula1>
    </dataValidation>
    <dataValidation type="list" allowBlank="1" showInputMessage="1" showErrorMessage="1" sqref="B61:D61" xr:uid="{48CAA909-EC70-433D-9F36-7223F3757303}">
      <formula1>"допущена, не допущена"</formula1>
    </dataValidation>
  </dataValidations>
  <pageMargins left="0.25" right="0.25" top="0.75" bottom="0.75" header="0.3" footer="0.3"/>
  <pageSetup paperSize="9" orientation="portrait" r:id="rId1"/>
  <rowBreaks count="1" manualBreakCount="1">
    <brk id="39" max="8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0AF4-7B7F-43B3-981C-84CE1C1AEF15}">
  <sheetPr>
    <tabColor rgb="FF92D050"/>
  </sheetPr>
  <dimension ref="A1:K89"/>
  <sheetViews>
    <sheetView tabSelected="1" view="pageBreakPreview" zoomScale="60" zoomScaleNormal="100" workbookViewId="0"/>
  </sheetViews>
  <sheetFormatPr defaultColWidth="9.109375" defaultRowHeight="13.8" x14ac:dyDescent="0.25"/>
  <cols>
    <col min="1" max="1" width="9.109375" style="8"/>
    <col min="2" max="2" width="7.44140625" style="8" customWidth="1"/>
    <col min="3" max="3" width="7.5546875" style="8" customWidth="1"/>
    <col min="4" max="4" width="8.33203125" style="8" customWidth="1"/>
    <col min="5" max="5" width="17.6640625" style="8" customWidth="1"/>
    <col min="6" max="6" width="14.44140625" style="8" customWidth="1"/>
    <col min="7" max="7" width="10.6640625" style="8" customWidth="1"/>
    <col min="8" max="8" width="11.44140625" style="8" customWidth="1"/>
    <col min="9" max="9" width="11.6640625" style="8" customWidth="1"/>
    <col min="10" max="10" width="9.109375" style="8"/>
    <col min="11" max="11" width="11.109375" style="8" customWidth="1"/>
    <col min="12" max="16384" width="9.109375" style="8"/>
  </cols>
  <sheetData>
    <row r="1" spans="1:11" x14ac:dyDescent="0.25">
      <c r="H1" s="8" t="s">
        <v>5</v>
      </c>
    </row>
    <row r="2" spans="1:11" x14ac:dyDescent="0.25">
      <c r="H2" s="8" t="s">
        <v>6</v>
      </c>
    </row>
    <row r="3" spans="1:11" ht="5.25" customHeight="1" x14ac:dyDescent="0.25">
      <c r="K3" s="76"/>
    </row>
    <row r="4" spans="1:11" ht="14.4" thickBot="1" x14ac:dyDescent="0.3">
      <c r="A4" s="180" t="s">
        <v>7</v>
      </c>
      <c r="B4" s="180"/>
      <c r="C4" s="180"/>
      <c r="D4" s="180"/>
      <c r="E4" s="180"/>
      <c r="F4" s="180"/>
      <c r="G4" s="180"/>
      <c r="H4" s="180"/>
      <c r="I4" s="180"/>
      <c r="K4" s="77" t="str">
        <f ca="1">MID(CELL("имяфайла",A1),SEARCH("]",CELL("имяфайла",A1))+1,LEN(CELL("имяфайла",A1)))</f>
        <v>АВК 14</v>
      </c>
    </row>
    <row r="5" spans="1:11" ht="10.5" customHeight="1" x14ac:dyDescent="0.25">
      <c r="F5" s="181" t="s">
        <v>95</v>
      </c>
      <c r="G5" s="182"/>
      <c r="H5" s="182"/>
      <c r="I5" s="183"/>
      <c r="K5" s="78">
        <f ca="1">RIGHT(K4,LEN(K4)-4)+2</f>
        <v>16</v>
      </c>
    </row>
    <row r="6" spans="1:11" ht="14.4" thickBot="1" x14ac:dyDescent="0.3">
      <c r="F6" s="184"/>
      <c r="G6" s="185"/>
      <c r="H6" s="185"/>
      <c r="I6" s="186"/>
      <c r="K6" s="79"/>
    </row>
    <row r="7" spans="1:11" x14ac:dyDescent="0.25">
      <c r="F7" s="187" t="s">
        <v>8</v>
      </c>
      <c r="G7" s="187"/>
      <c r="H7" s="187"/>
      <c r="I7" s="187"/>
    </row>
    <row r="8" spans="1:11" ht="46.8" customHeight="1" x14ac:dyDescent="0.25">
      <c r="A8" s="8" t="s">
        <v>9</v>
      </c>
      <c r="D8" s="188" t="str">
        <f>'Жвх.к (т)'!C17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E8" s="188"/>
      <c r="F8" s="188"/>
      <c r="G8" s="188"/>
      <c r="H8" s="188"/>
      <c r="I8" s="188"/>
    </row>
    <row r="9" spans="1:11" x14ac:dyDescent="0.25">
      <c r="A9" s="189" t="s">
        <v>10</v>
      </c>
      <c r="B9" s="189"/>
      <c r="C9" s="189"/>
      <c r="D9" s="190" t="s">
        <v>96</v>
      </c>
      <c r="E9" s="190"/>
      <c r="F9" s="190"/>
      <c r="G9" s="190"/>
      <c r="H9" s="190"/>
      <c r="I9" s="190"/>
    </row>
    <row r="11" spans="1:11" x14ac:dyDescent="0.25">
      <c r="A11" s="180" t="str">
        <f ca="1">CONCATENATE("АКТ № ",INDIRECT("'Форма журнала'!R"&amp;K5&amp;"C2",0))</f>
        <v>АКТ № 10</v>
      </c>
      <c r="B11" s="180"/>
      <c r="C11" s="180"/>
      <c r="D11" s="180"/>
      <c r="E11" s="180"/>
      <c r="F11" s="180"/>
      <c r="G11" s="180"/>
      <c r="H11" s="180"/>
      <c r="I11" s="180"/>
    </row>
    <row r="12" spans="1:11" x14ac:dyDescent="0.25">
      <c r="A12" s="180" t="s">
        <v>11</v>
      </c>
      <c r="B12" s="180"/>
      <c r="C12" s="180"/>
      <c r="D12" s="180"/>
      <c r="E12" s="180"/>
      <c r="F12" s="180"/>
      <c r="G12" s="180"/>
      <c r="H12" s="180"/>
      <c r="I12" s="180"/>
    </row>
    <row r="13" spans="1:11" x14ac:dyDescent="0.25">
      <c r="A13" s="172"/>
      <c r="B13" s="172"/>
      <c r="G13" s="193">
        <f ca="1">INDIRECT("'Форма журнала'!R"&amp;K5&amp;"C3",0)</f>
        <v>45607</v>
      </c>
      <c r="H13" s="193"/>
      <c r="I13" s="193"/>
    </row>
    <row r="14" spans="1:11" x14ac:dyDescent="0.25">
      <c r="A14" s="191" t="s">
        <v>12</v>
      </c>
      <c r="B14" s="191"/>
    </row>
    <row r="15" spans="1:11" x14ac:dyDescent="0.25">
      <c r="A15" s="8" t="s">
        <v>13</v>
      </c>
      <c r="C15" s="192" t="str">
        <f>'Жвх.к (т)'!B7</f>
        <v>ООО «СЭТ»</v>
      </c>
      <c r="D15" s="192"/>
      <c r="E15" s="192"/>
      <c r="F15" s="41" t="s">
        <v>523</v>
      </c>
      <c r="G15" s="41"/>
      <c r="H15" s="41"/>
      <c r="I15" s="41"/>
    </row>
    <row r="16" spans="1:11" x14ac:dyDescent="0.25">
      <c r="C16" s="19" t="s">
        <v>22</v>
      </c>
    </row>
    <row r="17" spans="1:9" x14ac:dyDescent="0.25">
      <c r="A17" s="8" t="s">
        <v>34</v>
      </c>
      <c r="C17" s="19"/>
    </row>
    <row r="18" spans="1:9" ht="30.75" customHeight="1" x14ac:dyDescent="0.3">
      <c r="A18" s="179" t="str">
        <f>CONCATENATE(ПОДПИСИ!B7," ",ПОДПИСИ!C7)</f>
        <v>Директор по строительству ООО «СЭТ» Потоцкий А.А.</v>
      </c>
      <c r="B18" s="179"/>
      <c r="C18" s="179"/>
      <c r="D18" s="179"/>
      <c r="E18" s="179"/>
      <c r="F18" s="179"/>
      <c r="G18" s="179"/>
      <c r="H18" s="179"/>
      <c r="I18" s="179"/>
    </row>
    <row r="19" spans="1:9" x14ac:dyDescent="0.25">
      <c r="A19" s="8" t="s">
        <v>23</v>
      </c>
    </row>
    <row r="20" spans="1:9" x14ac:dyDescent="0.25">
      <c r="B20" s="174" t="str">
        <f>CONCATENATE(ПОДПИСИ!B9," ",ПОДПИСИ!C9)</f>
        <v>Начальник участка ООО «СЭТ» Нугуманов М.А.</v>
      </c>
      <c r="C20" s="174"/>
      <c r="D20" s="174"/>
      <c r="E20" s="174"/>
      <c r="F20" s="174"/>
      <c r="G20" s="174"/>
      <c r="H20" s="174"/>
      <c r="I20" s="174"/>
    </row>
    <row r="21" spans="1:9" ht="9" customHeight="1" x14ac:dyDescent="0.25">
      <c r="B21" s="173" t="s">
        <v>24</v>
      </c>
      <c r="C21" s="173"/>
      <c r="D21" s="173"/>
      <c r="E21" s="173"/>
      <c r="F21" s="173"/>
      <c r="G21" s="173"/>
      <c r="H21" s="173"/>
      <c r="I21" s="173"/>
    </row>
    <row r="22" spans="1:9" ht="30.75" customHeight="1" x14ac:dyDescent="0.25">
      <c r="B22" s="174" t="str">
        <f>CONCATENATE(ПОДПИСИ!B11," ",ПОДПИСИ!C11)</f>
        <v>Ведущий инженер строительного контроля ООО «СЭТ» Кольцов А.Г.</v>
      </c>
      <c r="C22" s="174"/>
      <c r="D22" s="174"/>
      <c r="E22" s="174"/>
      <c r="F22" s="174"/>
      <c r="G22" s="174"/>
      <c r="H22" s="174"/>
      <c r="I22" s="174"/>
    </row>
    <row r="23" spans="1:9" ht="11.25" customHeight="1" x14ac:dyDescent="0.25">
      <c r="B23" s="173" t="s">
        <v>24</v>
      </c>
      <c r="C23" s="173"/>
      <c r="D23" s="173"/>
      <c r="E23" s="173"/>
      <c r="F23" s="173"/>
      <c r="G23" s="173"/>
      <c r="H23" s="173"/>
      <c r="I23" s="173"/>
    </row>
    <row r="24" spans="1:9" x14ac:dyDescent="0.25">
      <c r="B24" s="172"/>
      <c r="C24" s="172"/>
      <c r="D24" s="172"/>
      <c r="E24" s="172"/>
      <c r="F24" s="172"/>
      <c r="G24" s="172"/>
      <c r="H24" s="172"/>
      <c r="I24" s="172"/>
    </row>
    <row r="25" spans="1:9" ht="10.5" customHeight="1" x14ac:dyDescent="0.25">
      <c r="B25" s="173" t="s">
        <v>24</v>
      </c>
      <c r="C25" s="173"/>
      <c r="D25" s="173"/>
      <c r="E25" s="173"/>
      <c r="F25" s="173"/>
      <c r="G25" s="173"/>
      <c r="H25" s="173"/>
      <c r="I25" s="173"/>
    </row>
    <row r="26" spans="1:9" x14ac:dyDescent="0.25">
      <c r="A26" s="8" t="s">
        <v>25</v>
      </c>
    </row>
    <row r="27" spans="1:9" ht="44.25" customHeight="1" x14ac:dyDescent="0.25">
      <c r="A27" s="174" t="s">
        <v>102</v>
      </c>
      <c r="B27" s="174"/>
      <c r="C27" s="174"/>
      <c r="D27" s="174"/>
      <c r="E27" s="174"/>
      <c r="F27" s="174"/>
      <c r="G27" s="174"/>
      <c r="H27" s="174"/>
      <c r="I27" s="174"/>
    </row>
    <row r="28" spans="1:9" x14ac:dyDescent="0.25">
      <c r="A28" s="175" t="s">
        <v>26</v>
      </c>
      <c r="B28" s="175"/>
      <c r="C28" s="175"/>
      <c r="D28" s="175"/>
      <c r="E28" s="175"/>
      <c r="F28" s="175"/>
      <c r="G28" s="175"/>
      <c r="H28" s="175"/>
      <c r="I28" s="175"/>
    </row>
    <row r="29" spans="1:9" x14ac:dyDescent="0.25">
      <c r="A29" s="176" t="s">
        <v>27</v>
      </c>
      <c r="B29" s="176"/>
      <c r="C29" s="176"/>
      <c r="D29" s="176"/>
      <c r="E29" s="176"/>
      <c r="F29" s="176"/>
      <c r="G29" s="176"/>
      <c r="H29" s="176"/>
      <c r="I29" s="176"/>
    </row>
    <row r="30" spans="1:9" x14ac:dyDescent="0.25">
      <c r="A30" s="177" t="s">
        <v>28</v>
      </c>
      <c r="B30" s="177"/>
      <c r="C30" s="177"/>
      <c r="D30" s="177"/>
      <c r="E30" s="177"/>
      <c r="F30" s="177"/>
      <c r="G30" s="177"/>
      <c r="H30" s="177"/>
      <c r="I30" s="177"/>
    </row>
    <row r="31" spans="1:9" x14ac:dyDescent="0.25">
      <c r="A31" s="174" t="str">
        <f ca="1">INDIRECT("'Форма журнала'!R"&amp;K5&amp;"C4",0)</f>
        <v>Траверса ТМ68</v>
      </c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5" t="s">
        <v>29</v>
      </c>
      <c r="B32" s="175"/>
      <c r="C32" s="175"/>
      <c r="D32" s="175"/>
      <c r="E32" s="175"/>
      <c r="F32" s="175"/>
      <c r="G32" s="175"/>
      <c r="H32" s="175"/>
      <c r="I32" s="175"/>
    </row>
    <row r="33" spans="1:11" x14ac:dyDescent="0.25">
      <c r="A33" s="178" t="s">
        <v>30</v>
      </c>
      <c r="B33" s="178"/>
      <c r="C33" s="178"/>
      <c r="D33" s="178"/>
      <c r="E33" s="178"/>
      <c r="F33" s="178"/>
      <c r="G33" s="178"/>
      <c r="H33" s="178"/>
      <c r="I33" s="178"/>
    </row>
    <row r="34" spans="1:11" ht="22.8" customHeight="1" x14ac:dyDescent="0.25">
      <c r="A34" s="194" t="str">
        <f ca="1">INDIRECT("'Форма журнала'!R"&amp;K5&amp;"C7",0)</f>
        <v>Сертификат соответствия №РОСС RU.НЕ06.Н05218 от 12.04.2023 сроком действия до 11.04.2026</v>
      </c>
      <c r="B34" s="194"/>
      <c r="C34" s="194"/>
      <c r="D34" s="194"/>
      <c r="E34" s="194"/>
      <c r="F34" s="20" t="s">
        <v>31</v>
      </c>
      <c r="G34" s="195"/>
      <c r="H34" s="195"/>
      <c r="I34" s="195"/>
    </row>
    <row r="35" spans="1:11" x14ac:dyDescent="0.25">
      <c r="A35" s="175" t="s">
        <v>33</v>
      </c>
      <c r="B35" s="175"/>
      <c r="C35" s="175"/>
      <c r="D35" s="175"/>
      <c r="E35" s="175"/>
      <c r="F35" s="21"/>
      <c r="G35" s="175" t="s">
        <v>32</v>
      </c>
      <c r="H35" s="175"/>
      <c r="I35" s="175"/>
    </row>
    <row r="36" spans="1:11" x14ac:dyDescent="0.25">
      <c r="A36" s="177" t="s">
        <v>104</v>
      </c>
      <c r="B36" s="177"/>
      <c r="C36" s="192" t="str">
        <f ca="1">INDIRECT("'Форма журнала'!R"&amp;K5&amp;"C5",0)</f>
        <v>1 шт.</v>
      </c>
      <c r="D36" s="192"/>
      <c r="E36" s="192"/>
      <c r="F36" s="26" t="s">
        <v>68</v>
      </c>
      <c r="G36" s="196"/>
      <c r="H36" s="196"/>
      <c r="I36" s="196"/>
    </row>
    <row r="37" spans="1:11" x14ac:dyDescent="0.25">
      <c r="A37" s="21"/>
      <c r="B37" s="21"/>
      <c r="C37" s="175" t="s">
        <v>35</v>
      </c>
      <c r="D37" s="175"/>
      <c r="E37" s="175"/>
      <c r="F37" s="21"/>
      <c r="G37" s="191" t="s">
        <v>36</v>
      </c>
      <c r="H37" s="191"/>
      <c r="I37" s="191"/>
    </row>
    <row r="38" spans="1:11" x14ac:dyDescent="0.25">
      <c r="A38" s="177" t="s">
        <v>37</v>
      </c>
      <c r="B38" s="177"/>
      <c r="C38" s="174" t="str">
        <f ca="1">INDIRECT("'Форма журнала'!R"&amp;K5&amp;"C6",0)</f>
        <v>ООО "НИЛЕД"</v>
      </c>
      <c r="D38" s="174"/>
      <c r="E38" s="174"/>
      <c r="F38" s="20" t="s">
        <v>38</v>
      </c>
      <c r="G38" s="195"/>
      <c r="H38" s="195"/>
      <c r="I38" s="195"/>
      <c r="K38" s="28"/>
    </row>
    <row r="39" spans="1:11" x14ac:dyDescent="0.25">
      <c r="A39" s="22"/>
      <c r="B39" s="22"/>
      <c r="C39" s="175" t="s">
        <v>39</v>
      </c>
      <c r="D39" s="175"/>
      <c r="E39" s="175"/>
      <c r="F39" s="20"/>
      <c r="G39" s="191" t="s">
        <v>40</v>
      </c>
      <c r="H39" s="191"/>
      <c r="I39" s="191"/>
    </row>
    <row r="40" spans="1:11" x14ac:dyDescent="0.25">
      <c r="A40" s="22" t="s">
        <v>41</v>
      </c>
      <c r="B40" s="22"/>
      <c r="C40" s="21"/>
      <c r="D40" s="21"/>
      <c r="E40" s="21"/>
      <c r="F40" s="197" t="s">
        <v>101</v>
      </c>
      <c r="G40" s="197"/>
      <c r="H40" s="197"/>
      <c r="I40" s="197"/>
    </row>
    <row r="41" spans="1:11" x14ac:dyDescent="0.25">
      <c r="F41" s="198" t="s">
        <v>42</v>
      </c>
      <c r="G41" s="198"/>
      <c r="H41" s="198"/>
      <c r="I41" s="198"/>
    </row>
    <row r="42" spans="1:11" x14ac:dyDescent="0.25">
      <c r="A42" s="199" t="s">
        <v>43</v>
      </c>
      <c r="B42" s="199"/>
      <c r="C42" s="199"/>
      <c r="D42" s="199"/>
      <c r="E42" s="199"/>
      <c r="F42" s="199"/>
      <c r="G42" s="199"/>
      <c r="H42" s="199"/>
      <c r="I42" s="199"/>
    </row>
    <row r="43" spans="1:11" ht="30" customHeight="1" x14ac:dyDescent="0.25">
      <c r="A43" s="202" t="s">
        <v>14</v>
      </c>
      <c r="B43" s="202"/>
      <c r="C43" s="202"/>
      <c r="D43" s="202"/>
      <c r="E43" s="202" t="s">
        <v>17</v>
      </c>
      <c r="F43" s="202" t="s">
        <v>18</v>
      </c>
      <c r="G43" s="202" t="s">
        <v>19</v>
      </c>
      <c r="H43" s="202" t="s">
        <v>20</v>
      </c>
      <c r="I43" s="202" t="s">
        <v>21</v>
      </c>
    </row>
    <row r="44" spans="1:11" ht="32.25" customHeight="1" x14ac:dyDescent="0.25">
      <c r="A44" s="202" t="s">
        <v>15</v>
      </c>
      <c r="B44" s="202"/>
      <c r="C44" s="202" t="s">
        <v>16</v>
      </c>
      <c r="D44" s="202"/>
      <c r="E44" s="202"/>
      <c r="F44" s="202"/>
      <c r="G44" s="202"/>
      <c r="H44" s="202"/>
      <c r="I44" s="202"/>
    </row>
    <row r="45" spans="1:11" x14ac:dyDescent="0.25">
      <c r="A45" s="201">
        <v>1</v>
      </c>
      <c r="B45" s="201"/>
      <c r="C45" s="201">
        <v>2</v>
      </c>
      <c r="D45" s="201"/>
      <c r="E45" s="23">
        <v>3</v>
      </c>
      <c r="F45" s="23">
        <v>4</v>
      </c>
      <c r="G45" s="23">
        <v>5</v>
      </c>
      <c r="H45" s="23">
        <v>6</v>
      </c>
      <c r="I45" s="23">
        <v>7</v>
      </c>
    </row>
    <row r="46" spans="1:11" x14ac:dyDescent="0.25">
      <c r="A46" s="24" t="str">
        <f ca="1">C36</f>
        <v>1 шт.</v>
      </c>
      <c r="B46" s="24"/>
      <c r="C46" s="24"/>
      <c r="D46" s="24"/>
      <c r="E46" s="24"/>
      <c r="F46" s="24"/>
      <c r="G46" s="24"/>
      <c r="H46" s="24"/>
      <c r="I46" s="24" t="s">
        <v>127</v>
      </c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00" t="s">
        <v>44</v>
      </c>
      <c r="B48" s="200"/>
      <c r="C48" s="200"/>
      <c r="D48" s="200"/>
      <c r="E48" s="200"/>
      <c r="F48" s="200"/>
      <c r="G48" s="200"/>
      <c r="H48" s="200"/>
      <c r="I48" s="200"/>
    </row>
    <row r="49" spans="1:9" x14ac:dyDescent="0.25">
      <c r="A49" s="189" t="s">
        <v>45</v>
      </c>
      <c r="B49" s="189"/>
      <c r="C49" s="189"/>
      <c r="D49" s="189"/>
      <c r="E49" s="189"/>
      <c r="F49" s="192" t="s">
        <v>97</v>
      </c>
      <c r="G49" s="192"/>
      <c r="H49" s="192"/>
      <c r="I49" s="192"/>
    </row>
    <row r="50" spans="1:9" ht="10.5" customHeight="1" x14ac:dyDescent="0.25">
      <c r="A50" s="25"/>
      <c r="B50" s="25"/>
      <c r="C50" s="25"/>
      <c r="D50" s="25"/>
      <c r="E50" s="25"/>
      <c r="F50" s="198" t="s">
        <v>47</v>
      </c>
      <c r="G50" s="198"/>
      <c r="H50" s="198"/>
      <c r="I50" s="198"/>
    </row>
    <row r="51" spans="1:9" ht="15" customHeight="1" x14ac:dyDescent="0.25">
      <c r="A51" s="189" t="s">
        <v>46</v>
      </c>
      <c r="B51" s="189"/>
      <c r="C51" s="189"/>
      <c r="D51" s="189"/>
      <c r="E51" s="189"/>
      <c r="F51" s="192" t="s">
        <v>95</v>
      </c>
      <c r="G51" s="192"/>
      <c r="H51" s="192"/>
      <c r="I51" s="192"/>
    </row>
    <row r="52" spans="1:9" ht="12.75" customHeight="1" x14ac:dyDescent="0.25">
      <c r="F52" s="198" t="s">
        <v>48</v>
      </c>
      <c r="G52" s="198"/>
      <c r="H52" s="198"/>
      <c r="I52" s="198"/>
    </row>
    <row r="53" spans="1:9" x14ac:dyDescent="0.25">
      <c r="A53" s="189" t="s">
        <v>49</v>
      </c>
      <c r="B53" s="189"/>
      <c r="C53" s="189"/>
      <c r="D53" s="189"/>
      <c r="E53" s="189"/>
      <c r="F53" s="192" t="s">
        <v>95</v>
      </c>
      <c r="G53" s="192"/>
      <c r="H53" s="192"/>
      <c r="I53" s="192"/>
    </row>
    <row r="54" spans="1:9" ht="11.25" customHeight="1" x14ac:dyDescent="0.25">
      <c r="F54" s="198" t="s">
        <v>48</v>
      </c>
      <c r="G54" s="198"/>
      <c r="H54" s="198"/>
      <c r="I54" s="198"/>
    </row>
    <row r="55" spans="1:9" x14ac:dyDescent="0.25">
      <c r="A55" s="189" t="s">
        <v>50</v>
      </c>
      <c r="B55" s="189"/>
      <c r="C55" s="189"/>
      <c r="D55" s="189"/>
      <c r="E55" s="189"/>
      <c r="F55" s="192" t="s">
        <v>95</v>
      </c>
      <c r="G55" s="192"/>
      <c r="H55" s="192"/>
      <c r="I55" s="192"/>
    </row>
    <row r="56" spans="1:9" ht="10.5" customHeight="1" x14ac:dyDescent="0.25">
      <c r="F56" s="198" t="s">
        <v>48</v>
      </c>
      <c r="G56" s="198"/>
      <c r="H56" s="198"/>
      <c r="I56" s="198"/>
    </row>
    <row r="57" spans="1:9" ht="15" customHeight="1" x14ac:dyDescent="0.25">
      <c r="A57" s="189" t="s">
        <v>51</v>
      </c>
      <c r="B57" s="189"/>
      <c r="C57" s="189"/>
      <c r="D57" s="189"/>
      <c r="E57" s="189"/>
      <c r="F57" s="192" t="str">
        <f ca="1">IF(OR(INDIRECT("'Форма журнала'!R"&amp;K5&amp;"C13",0)="",INDIRECT("'Форма журнала'!R"&amp;K5&amp;"C13",0)=0),"отсутствует",INDIRECT("'Форма журнала'!R"&amp;K5&amp;"C13",0))</f>
        <v>Отсутствует</v>
      </c>
      <c r="G57" s="192"/>
      <c r="H57" s="192"/>
      <c r="I57" s="192"/>
    </row>
    <row r="58" spans="1:9" ht="9.75" customHeight="1" x14ac:dyDescent="0.25">
      <c r="F58" s="198" t="s">
        <v>48</v>
      </c>
      <c r="G58" s="198"/>
      <c r="H58" s="198"/>
      <c r="I58" s="198"/>
    </row>
    <row r="59" spans="1:9" x14ac:dyDescent="0.25">
      <c r="A59" s="189" t="s">
        <v>52</v>
      </c>
      <c r="B59" s="189"/>
      <c r="C59" s="189"/>
      <c r="D59" s="189"/>
      <c r="E59" s="189"/>
      <c r="F59" s="189"/>
      <c r="G59" s="189"/>
      <c r="H59" s="192" t="s">
        <v>98</v>
      </c>
      <c r="I59" s="192"/>
    </row>
    <row r="60" spans="1:9" x14ac:dyDescent="0.25">
      <c r="H60" s="203" t="s">
        <v>53</v>
      </c>
      <c r="I60" s="203"/>
    </row>
    <row r="61" spans="1:9" x14ac:dyDescent="0.25">
      <c r="A61" s="8" t="s">
        <v>54</v>
      </c>
      <c r="B61" s="192" t="s">
        <v>99</v>
      </c>
      <c r="C61" s="192"/>
      <c r="D61" s="192"/>
      <c r="E61" s="8" t="s">
        <v>55</v>
      </c>
      <c r="F61" s="192" t="s">
        <v>100</v>
      </c>
      <c r="G61" s="192"/>
      <c r="H61" s="192"/>
      <c r="I61" s="192"/>
    </row>
    <row r="62" spans="1:9" x14ac:dyDescent="0.25">
      <c r="B62" s="203" t="s">
        <v>57</v>
      </c>
      <c r="C62" s="203"/>
      <c r="D62" s="203"/>
      <c r="F62" s="198" t="s">
        <v>56</v>
      </c>
      <c r="G62" s="198"/>
      <c r="H62" s="198"/>
      <c r="I62" s="198"/>
    </row>
    <row r="63" spans="1:9" x14ac:dyDescent="0.25">
      <c r="A63" s="189" t="s">
        <v>58</v>
      </c>
      <c r="B63" s="189"/>
      <c r="C63" s="189"/>
      <c r="D63" s="189"/>
      <c r="E63" s="189"/>
      <c r="F63" s="189"/>
      <c r="G63" s="189"/>
      <c r="H63" s="189"/>
      <c r="I63" s="189"/>
    </row>
    <row r="64" spans="1:9" x14ac:dyDescent="0.25">
      <c r="A64" s="172"/>
      <c r="B64" s="172"/>
      <c r="C64" s="172"/>
      <c r="D64" s="172"/>
      <c r="E64" s="172"/>
      <c r="F64" s="172"/>
      <c r="G64" s="172"/>
      <c r="H64" s="172"/>
      <c r="I64" s="172"/>
    </row>
    <row r="65" spans="1:9" ht="11.25" customHeight="1" x14ac:dyDescent="0.25">
      <c r="A65" s="198" t="s">
        <v>59</v>
      </c>
      <c r="B65" s="198"/>
      <c r="C65" s="198"/>
      <c r="D65" s="198"/>
      <c r="E65" s="198"/>
      <c r="F65" s="198"/>
      <c r="G65" s="198"/>
      <c r="H65" s="198"/>
      <c r="I65" s="198"/>
    </row>
    <row r="66" spans="1:9" x14ac:dyDescent="0.25">
      <c r="A66" s="172"/>
      <c r="B66" s="172"/>
      <c r="C66" s="172"/>
      <c r="D66" s="172"/>
      <c r="E66" s="172"/>
      <c r="F66" s="172"/>
      <c r="G66" s="172"/>
      <c r="H66" s="172"/>
      <c r="I66" s="172"/>
    </row>
    <row r="67" spans="1:9" ht="12" customHeight="1" x14ac:dyDescent="0.25">
      <c r="A67" s="198" t="s">
        <v>60</v>
      </c>
      <c r="B67" s="198"/>
      <c r="C67" s="198"/>
      <c r="D67" s="198"/>
      <c r="E67" s="198"/>
      <c r="F67" s="198"/>
      <c r="G67" s="198"/>
      <c r="H67" s="198"/>
      <c r="I67" s="198"/>
    </row>
    <row r="68" spans="1:9" x14ac:dyDescent="0.25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ht="8.25" customHeight="1" x14ac:dyDescent="0.25"/>
    <row r="70" spans="1:9" x14ac:dyDescent="0.25">
      <c r="A70" s="204" t="s">
        <v>61</v>
      </c>
      <c r="B70" s="204"/>
      <c r="C70" s="204"/>
      <c r="D70" s="204"/>
      <c r="E70" s="172"/>
      <c r="F70" s="172"/>
      <c r="G70" s="172"/>
      <c r="H70" s="172"/>
      <c r="I70" s="172"/>
    </row>
    <row r="71" spans="1:9" ht="12.75" customHeight="1" x14ac:dyDescent="0.25">
      <c r="E71" s="198" t="s">
        <v>62</v>
      </c>
      <c r="F71" s="198"/>
      <c r="G71" s="198"/>
      <c r="H71" s="198"/>
      <c r="I71" s="198"/>
    </row>
    <row r="73" spans="1:9" ht="28.5" customHeight="1" x14ac:dyDescent="0.25">
      <c r="A73" s="189" t="s">
        <v>63</v>
      </c>
      <c r="B73" s="189"/>
      <c r="C73" s="174" t="str">
        <f>A18</f>
        <v>Директор по строительству ООО «СЭТ» Потоцкий А.А.</v>
      </c>
      <c r="D73" s="174"/>
      <c r="E73" s="174"/>
      <c r="F73" s="174"/>
      <c r="G73" s="174"/>
      <c r="H73" s="174"/>
      <c r="I73" s="174"/>
    </row>
    <row r="74" spans="1:9" ht="12" customHeight="1" x14ac:dyDescent="0.25">
      <c r="C74" s="198" t="s">
        <v>64</v>
      </c>
      <c r="D74" s="198"/>
      <c r="E74" s="198"/>
      <c r="F74" s="198"/>
      <c r="G74" s="198"/>
      <c r="H74" s="198"/>
      <c r="I74" s="198"/>
    </row>
    <row r="76" spans="1:9" x14ac:dyDescent="0.25">
      <c r="A76" s="189" t="s">
        <v>65</v>
      </c>
      <c r="B76" s="189"/>
      <c r="C76" s="174" t="str">
        <f>B20</f>
        <v>Начальник участка ООО «СЭТ» Нугуманов М.А.</v>
      </c>
      <c r="D76" s="174"/>
      <c r="E76" s="174"/>
      <c r="F76" s="174"/>
      <c r="G76" s="174"/>
      <c r="H76" s="174"/>
      <c r="I76" s="174"/>
    </row>
    <row r="77" spans="1:9" ht="11.25" customHeight="1" x14ac:dyDescent="0.25">
      <c r="C77" s="173" t="s">
        <v>64</v>
      </c>
      <c r="D77" s="173"/>
      <c r="E77" s="173"/>
      <c r="F77" s="173"/>
      <c r="G77" s="173"/>
      <c r="H77" s="173"/>
      <c r="I77" s="173"/>
    </row>
    <row r="78" spans="1:9" ht="28.5" customHeight="1" x14ac:dyDescent="0.25">
      <c r="C78" s="174" t="str">
        <f>B22</f>
        <v>Ведущий инженер строительного контроля ООО «СЭТ» Кольцов А.Г.</v>
      </c>
      <c r="D78" s="174"/>
      <c r="E78" s="174"/>
      <c r="F78" s="174"/>
      <c r="G78" s="174"/>
      <c r="H78" s="174"/>
      <c r="I78" s="174"/>
    </row>
    <row r="79" spans="1:9" ht="12" customHeight="1" x14ac:dyDescent="0.25">
      <c r="C79" s="173" t="s">
        <v>64</v>
      </c>
      <c r="D79" s="173"/>
      <c r="E79" s="173"/>
      <c r="F79" s="173"/>
      <c r="G79" s="173"/>
      <c r="H79" s="173"/>
      <c r="I79" s="173"/>
    </row>
    <row r="80" spans="1:9" x14ac:dyDescent="0.25">
      <c r="C80" s="172"/>
      <c r="D80" s="172"/>
      <c r="E80" s="172"/>
      <c r="F80" s="172"/>
      <c r="G80" s="172"/>
      <c r="H80" s="172"/>
      <c r="I80" s="172"/>
    </row>
    <row r="81" spans="1:9" x14ac:dyDescent="0.25">
      <c r="C81" s="173" t="s">
        <v>64</v>
      </c>
      <c r="D81" s="173"/>
      <c r="E81" s="173"/>
      <c r="F81" s="173"/>
      <c r="G81" s="173"/>
      <c r="H81" s="173"/>
      <c r="I81" s="173"/>
    </row>
    <row r="83" spans="1:9" x14ac:dyDescent="0.25">
      <c r="A83" s="189" t="s">
        <v>66</v>
      </c>
      <c r="B83" s="189"/>
      <c r="C83" s="189"/>
    </row>
    <row r="84" spans="1:9" x14ac:dyDescent="0.25">
      <c r="A84" s="192" t="str">
        <f>CONCATENATE(ПОДПИСИ!B13," ",ПОДПИСИ!C13)</f>
        <v>Ведущий инженер отдела строительного контроля АО "ЛЭСР" Сафуанова В.А.</v>
      </c>
      <c r="B84" s="192"/>
      <c r="C84" s="192"/>
      <c r="D84" s="192"/>
      <c r="E84" s="192"/>
      <c r="F84" s="192"/>
      <c r="G84" s="192"/>
      <c r="H84" s="192"/>
      <c r="I84" s="192"/>
    </row>
    <row r="85" spans="1:9" x14ac:dyDescent="0.25">
      <c r="A85" s="191" t="s">
        <v>64</v>
      </c>
      <c r="B85" s="191"/>
      <c r="C85" s="191"/>
      <c r="D85" s="191"/>
      <c r="E85" s="191"/>
      <c r="F85" s="191"/>
      <c r="G85" s="191"/>
      <c r="H85" s="191"/>
      <c r="I85" s="191"/>
    </row>
    <row r="87" spans="1:9" x14ac:dyDescent="0.25">
      <c r="A87" s="189" t="s">
        <v>67</v>
      </c>
      <c r="B87" s="189"/>
      <c r="C87" s="172"/>
      <c r="D87" s="172"/>
      <c r="E87" s="172"/>
      <c r="F87" s="172"/>
      <c r="G87" s="172"/>
      <c r="H87" s="172"/>
      <c r="I87" s="172"/>
    </row>
    <row r="88" spans="1:9" x14ac:dyDescent="0.25">
      <c r="A88" s="172"/>
      <c r="B88" s="172"/>
      <c r="C88" s="172"/>
      <c r="D88" s="172"/>
      <c r="E88" s="172"/>
      <c r="F88" s="172"/>
      <c r="G88" s="172"/>
      <c r="H88" s="172"/>
      <c r="I88" s="172"/>
    </row>
    <row r="89" spans="1:9" x14ac:dyDescent="0.25">
      <c r="A89" s="205"/>
      <c r="B89" s="205"/>
      <c r="C89" s="205"/>
      <c r="D89" s="205"/>
      <c r="E89" s="205"/>
      <c r="F89" s="205"/>
      <c r="G89" s="205"/>
      <c r="H89" s="205"/>
      <c r="I89" s="205"/>
    </row>
  </sheetData>
  <mergeCells count="102">
    <mergeCell ref="A11:I11"/>
    <mergeCell ref="A12:I12"/>
    <mergeCell ref="A13:B13"/>
    <mergeCell ref="G13:I13"/>
    <mergeCell ref="A14:B14"/>
    <mergeCell ref="C15:E15"/>
    <mergeCell ref="A4:I4"/>
    <mergeCell ref="F5:I6"/>
    <mergeCell ref="F7:I7"/>
    <mergeCell ref="D8:I8"/>
    <mergeCell ref="A9:C9"/>
    <mergeCell ref="D9:I9"/>
    <mergeCell ref="B25:I25"/>
    <mergeCell ref="A27:I27"/>
    <mergeCell ref="A28:I28"/>
    <mergeCell ref="A29:I29"/>
    <mergeCell ref="A30:I30"/>
    <mergeCell ref="A31:I31"/>
    <mergeCell ref="A18:I18"/>
    <mergeCell ref="B20:I20"/>
    <mergeCell ref="B21:I21"/>
    <mergeCell ref="B22:I22"/>
    <mergeCell ref="B23:I23"/>
    <mergeCell ref="B24:I24"/>
    <mergeCell ref="A36:B36"/>
    <mergeCell ref="C36:E36"/>
    <mergeCell ref="G36:I36"/>
    <mergeCell ref="C37:E37"/>
    <mergeCell ref="G37:I37"/>
    <mergeCell ref="A38:B38"/>
    <mergeCell ref="C38:E38"/>
    <mergeCell ref="G38:I38"/>
    <mergeCell ref="A32:I32"/>
    <mergeCell ref="A33:I33"/>
    <mergeCell ref="A34:E34"/>
    <mergeCell ref="G34:I34"/>
    <mergeCell ref="A35:E35"/>
    <mergeCell ref="G35:I35"/>
    <mergeCell ref="I43:I44"/>
    <mergeCell ref="A44:B44"/>
    <mergeCell ref="C44:D44"/>
    <mergeCell ref="A45:B45"/>
    <mergeCell ref="C45:D45"/>
    <mergeCell ref="A48:I48"/>
    <mergeCell ref="C39:E39"/>
    <mergeCell ref="G39:I39"/>
    <mergeCell ref="F40:I40"/>
    <mergeCell ref="F41:I41"/>
    <mergeCell ref="A42:I42"/>
    <mergeCell ref="A43:D43"/>
    <mergeCell ref="E43:E44"/>
    <mergeCell ref="F43:F44"/>
    <mergeCell ref="G43:G44"/>
    <mergeCell ref="H43:H44"/>
    <mergeCell ref="A53:E53"/>
    <mergeCell ref="F53:I53"/>
    <mergeCell ref="F54:I54"/>
    <mergeCell ref="A55:E55"/>
    <mergeCell ref="F55:I55"/>
    <mergeCell ref="F56:I56"/>
    <mergeCell ref="A49:E49"/>
    <mergeCell ref="F49:I49"/>
    <mergeCell ref="F50:I50"/>
    <mergeCell ref="A51:E51"/>
    <mergeCell ref="F51:I51"/>
    <mergeCell ref="F52:I52"/>
    <mergeCell ref="B61:D61"/>
    <mergeCell ref="F61:I61"/>
    <mergeCell ref="B62:D62"/>
    <mergeCell ref="F62:I62"/>
    <mergeCell ref="A63:I63"/>
    <mergeCell ref="A64:I64"/>
    <mergeCell ref="A57:E57"/>
    <mergeCell ref="F57:I57"/>
    <mergeCell ref="F58:I58"/>
    <mergeCell ref="A59:G59"/>
    <mergeCell ref="H59:I59"/>
    <mergeCell ref="H60:I60"/>
    <mergeCell ref="E71:I71"/>
    <mergeCell ref="A73:B73"/>
    <mergeCell ref="C73:I73"/>
    <mergeCell ref="C74:I74"/>
    <mergeCell ref="A76:B76"/>
    <mergeCell ref="C76:I76"/>
    <mergeCell ref="A65:I65"/>
    <mergeCell ref="A66:I66"/>
    <mergeCell ref="A67:I67"/>
    <mergeCell ref="A68:I68"/>
    <mergeCell ref="A70:D70"/>
    <mergeCell ref="E70:I70"/>
    <mergeCell ref="A84:I84"/>
    <mergeCell ref="A85:I85"/>
    <mergeCell ref="A87:B87"/>
    <mergeCell ref="C87:I87"/>
    <mergeCell ref="A88:I88"/>
    <mergeCell ref="A89:I89"/>
    <mergeCell ref="C77:I77"/>
    <mergeCell ref="C78:I78"/>
    <mergeCell ref="C79:I79"/>
    <mergeCell ref="C80:I80"/>
    <mergeCell ref="C81:I81"/>
    <mergeCell ref="A83:C83"/>
  </mergeCells>
  <dataValidations count="5">
    <dataValidation type="list" allowBlank="1" showInputMessage="1" showErrorMessage="1" sqref="B61:D61" xr:uid="{4D27C7C4-1A17-4620-A510-690981960E31}">
      <formula1>"допущена, не допущена"</formula1>
    </dataValidation>
    <dataValidation type="list" allowBlank="1" showInputMessage="1" showErrorMessage="1" sqref="H59:I59" xr:uid="{0C86170A-9DC0-4A8B-8299-6211FF90B130}">
      <formula1>"пригодной, непригодной"</formula1>
    </dataValidation>
    <dataValidation type="list" allowBlank="1" showInputMessage="1" showErrorMessage="1" sqref="F49:I49" xr:uid="{87132D6D-28E4-46A8-8986-581C01AB1817}">
      <formula1>"соответствуют, не соотвествуют"</formula1>
    </dataValidation>
    <dataValidation type="list" allowBlank="1" showInputMessage="1" showErrorMessage="1" sqref="F51:I51 F53:I53 F55:I55" xr:uid="{CD04178E-380C-40A2-A8AA-303D9EE4FF00}">
      <formula1>"соответствует, не соотвествует"</formula1>
    </dataValidation>
    <dataValidation type="list" allowBlank="1" showInputMessage="1" showErrorMessage="1" sqref="F40:I40" xr:uid="{2571BC4F-7FB8-4B71-A364-92F423CB7A0C}">
      <formula1>"выполнена, не выполнена"</formula1>
    </dataValidation>
  </dataValidations>
  <pageMargins left="0.25" right="0.25" top="0.75" bottom="0.75" header="0.3" footer="0.3"/>
  <pageSetup paperSize="9" scale="98" orientation="portrait" r:id="rId1"/>
  <rowBreaks count="1" manualBreakCount="1">
    <brk id="39" max="8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7A5E-2658-45AE-BAD0-B5643196C4F4}">
  <sheetPr>
    <tabColor rgb="FF92D050"/>
  </sheetPr>
  <dimension ref="A1:K89"/>
  <sheetViews>
    <sheetView tabSelected="1" view="pageBreakPreview" zoomScale="60" zoomScaleNormal="100" workbookViewId="0"/>
  </sheetViews>
  <sheetFormatPr defaultColWidth="9.109375" defaultRowHeight="13.8" x14ac:dyDescent="0.25"/>
  <cols>
    <col min="1" max="1" width="9.109375" style="8"/>
    <col min="2" max="2" width="7.44140625" style="8" customWidth="1"/>
    <col min="3" max="3" width="7.5546875" style="8" customWidth="1"/>
    <col min="4" max="4" width="8.33203125" style="8" customWidth="1"/>
    <col min="5" max="5" width="17.6640625" style="8" customWidth="1"/>
    <col min="6" max="6" width="14.44140625" style="8" customWidth="1"/>
    <col min="7" max="7" width="10.6640625" style="8" customWidth="1"/>
    <col min="8" max="8" width="11.44140625" style="8" customWidth="1"/>
    <col min="9" max="9" width="11.6640625" style="8" customWidth="1"/>
    <col min="10" max="10" width="9.109375" style="8"/>
    <col min="11" max="11" width="11.109375" style="8" customWidth="1"/>
    <col min="12" max="16384" width="9.109375" style="8"/>
  </cols>
  <sheetData>
    <row r="1" spans="1:11" x14ac:dyDescent="0.25">
      <c r="H1" s="8" t="s">
        <v>5</v>
      </c>
    </row>
    <row r="2" spans="1:11" x14ac:dyDescent="0.25">
      <c r="H2" s="8" t="s">
        <v>6</v>
      </c>
    </row>
    <row r="3" spans="1:11" ht="5.25" customHeight="1" x14ac:dyDescent="0.25">
      <c r="K3" s="76"/>
    </row>
    <row r="4" spans="1:11" ht="14.4" thickBot="1" x14ac:dyDescent="0.3">
      <c r="A4" s="180" t="s">
        <v>7</v>
      </c>
      <c r="B4" s="180"/>
      <c r="C4" s="180"/>
      <c r="D4" s="180"/>
      <c r="E4" s="180"/>
      <c r="F4" s="180"/>
      <c r="G4" s="180"/>
      <c r="H4" s="180"/>
      <c r="I4" s="180"/>
      <c r="K4" s="77" t="str">
        <f ca="1">MID(CELL("имяфайла",A1),SEARCH("]",CELL("имяфайла",A1))+1,LEN(CELL("имяфайла",A1)))</f>
        <v>АВК 15</v>
      </c>
    </row>
    <row r="5" spans="1:11" ht="10.5" customHeight="1" x14ac:dyDescent="0.25">
      <c r="F5" s="181" t="s">
        <v>95</v>
      </c>
      <c r="G5" s="182"/>
      <c r="H5" s="182"/>
      <c r="I5" s="183"/>
      <c r="K5" s="78">
        <f ca="1">RIGHT(K4,LEN(K4)-4)+2</f>
        <v>17</v>
      </c>
    </row>
    <row r="6" spans="1:11" ht="14.4" thickBot="1" x14ac:dyDescent="0.3">
      <c r="F6" s="184"/>
      <c r="G6" s="185"/>
      <c r="H6" s="185"/>
      <c r="I6" s="186"/>
      <c r="K6" s="79"/>
    </row>
    <row r="7" spans="1:11" x14ac:dyDescent="0.25">
      <c r="F7" s="187" t="s">
        <v>8</v>
      </c>
      <c r="G7" s="187"/>
      <c r="H7" s="187"/>
      <c r="I7" s="187"/>
    </row>
    <row r="8" spans="1:11" ht="46.8" customHeight="1" x14ac:dyDescent="0.25">
      <c r="A8" s="8" t="s">
        <v>9</v>
      </c>
      <c r="D8" s="188" t="str">
        <f>'Жвх.к (т)'!C17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E8" s="188"/>
      <c r="F8" s="188"/>
      <c r="G8" s="188"/>
      <c r="H8" s="188"/>
      <c r="I8" s="188"/>
    </row>
    <row r="9" spans="1:11" x14ac:dyDescent="0.25">
      <c r="A9" s="189" t="s">
        <v>10</v>
      </c>
      <c r="B9" s="189"/>
      <c r="C9" s="189"/>
      <c r="D9" s="190" t="s">
        <v>96</v>
      </c>
      <c r="E9" s="190"/>
      <c r="F9" s="190"/>
      <c r="G9" s="190"/>
      <c r="H9" s="190"/>
      <c r="I9" s="190"/>
    </row>
    <row r="11" spans="1:11" x14ac:dyDescent="0.25">
      <c r="A11" s="180" t="str">
        <f ca="1">CONCATENATE("АКТ № ",INDIRECT("'Форма журнала'!R"&amp;K5&amp;"C2",0))</f>
        <v>АКТ № 11</v>
      </c>
      <c r="B11" s="180"/>
      <c r="C11" s="180"/>
      <c r="D11" s="180"/>
      <c r="E11" s="180"/>
      <c r="F11" s="180"/>
      <c r="G11" s="180"/>
      <c r="H11" s="180"/>
      <c r="I11" s="180"/>
    </row>
    <row r="12" spans="1:11" x14ac:dyDescent="0.25">
      <c r="A12" s="180" t="s">
        <v>11</v>
      </c>
      <c r="B12" s="180"/>
      <c r="C12" s="180"/>
      <c r="D12" s="180"/>
      <c r="E12" s="180"/>
      <c r="F12" s="180"/>
      <c r="G12" s="180"/>
      <c r="H12" s="180"/>
      <c r="I12" s="180"/>
    </row>
    <row r="13" spans="1:11" x14ac:dyDescent="0.25">
      <c r="A13" s="172"/>
      <c r="B13" s="172"/>
      <c r="G13" s="193">
        <f ca="1">INDIRECT("'Форма журнала'!R"&amp;K5&amp;"C3",0)</f>
        <v>45607</v>
      </c>
      <c r="H13" s="193"/>
      <c r="I13" s="193"/>
    </row>
    <row r="14" spans="1:11" x14ac:dyDescent="0.25">
      <c r="A14" s="191" t="s">
        <v>12</v>
      </c>
      <c r="B14" s="191"/>
    </row>
    <row r="15" spans="1:11" x14ac:dyDescent="0.25">
      <c r="A15" s="8" t="s">
        <v>13</v>
      </c>
      <c r="C15" s="192" t="str">
        <f>'Жвх.к (т)'!B7</f>
        <v>ООО «СЭТ»</v>
      </c>
      <c r="D15" s="192"/>
      <c r="E15" s="192"/>
      <c r="F15" s="41" t="s">
        <v>523</v>
      </c>
      <c r="G15" s="41"/>
      <c r="H15" s="41"/>
      <c r="I15" s="41"/>
    </row>
    <row r="16" spans="1:11" x14ac:dyDescent="0.25">
      <c r="C16" s="19" t="s">
        <v>22</v>
      </c>
    </row>
    <row r="17" spans="1:9" x14ac:dyDescent="0.25">
      <c r="A17" s="8" t="s">
        <v>34</v>
      </c>
      <c r="C17" s="19"/>
    </row>
    <row r="18" spans="1:9" ht="30.75" customHeight="1" x14ac:dyDescent="0.3">
      <c r="A18" s="179" t="str">
        <f>CONCATENATE(ПОДПИСИ!B7," ",ПОДПИСИ!C7)</f>
        <v>Директор по строительству ООО «СЭТ» Потоцкий А.А.</v>
      </c>
      <c r="B18" s="179"/>
      <c r="C18" s="179"/>
      <c r="D18" s="179"/>
      <c r="E18" s="179"/>
      <c r="F18" s="179"/>
      <c r="G18" s="179"/>
      <c r="H18" s="179"/>
      <c r="I18" s="179"/>
    </row>
    <row r="19" spans="1:9" x14ac:dyDescent="0.25">
      <c r="A19" s="8" t="s">
        <v>23</v>
      </c>
    </row>
    <row r="20" spans="1:9" x14ac:dyDescent="0.25">
      <c r="B20" s="174" t="str">
        <f>CONCATENATE(ПОДПИСИ!B9," ",ПОДПИСИ!C9)</f>
        <v>Начальник участка ООО «СЭТ» Нугуманов М.А.</v>
      </c>
      <c r="C20" s="174"/>
      <c r="D20" s="174"/>
      <c r="E20" s="174"/>
      <c r="F20" s="174"/>
      <c r="G20" s="174"/>
      <c r="H20" s="174"/>
      <c r="I20" s="174"/>
    </row>
    <row r="21" spans="1:9" ht="9" customHeight="1" x14ac:dyDescent="0.25">
      <c r="B21" s="173" t="s">
        <v>24</v>
      </c>
      <c r="C21" s="173"/>
      <c r="D21" s="173"/>
      <c r="E21" s="173"/>
      <c r="F21" s="173"/>
      <c r="G21" s="173"/>
      <c r="H21" s="173"/>
      <c r="I21" s="173"/>
    </row>
    <row r="22" spans="1:9" ht="30.75" customHeight="1" x14ac:dyDescent="0.25">
      <c r="B22" s="174" t="str">
        <f>CONCATENATE(ПОДПИСИ!B11," ",ПОДПИСИ!C11)</f>
        <v>Ведущий инженер строительного контроля ООО «СЭТ» Кольцов А.Г.</v>
      </c>
      <c r="C22" s="174"/>
      <c r="D22" s="174"/>
      <c r="E22" s="174"/>
      <c r="F22" s="174"/>
      <c r="G22" s="174"/>
      <c r="H22" s="174"/>
      <c r="I22" s="174"/>
    </row>
    <row r="23" spans="1:9" ht="11.25" customHeight="1" x14ac:dyDescent="0.25">
      <c r="B23" s="173" t="s">
        <v>24</v>
      </c>
      <c r="C23" s="173"/>
      <c r="D23" s="173"/>
      <c r="E23" s="173"/>
      <c r="F23" s="173"/>
      <c r="G23" s="173"/>
      <c r="H23" s="173"/>
      <c r="I23" s="173"/>
    </row>
    <row r="24" spans="1:9" x14ac:dyDescent="0.25">
      <c r="B24" s="172"/>
      <c r="C24" s="172"/>
      <c r="D24" s="172"/>
      <c r="E24" s="172"/>
      <c r="F24" s="172"/>
      <c r="G24" s="172"/>
      <c r="H24" s="172"/>
      <c r="I24" s="172"/>
    </row>
    <row r="25" spans="1:9" ht="10.5" customHeight="1" x14ac:dyDescent="0.25">
      <c r="B25" s="173" t="s">
        <v>24</v>
      </c>
      <c r="C25" s="173"/>
      <c r="D25" s="173"/>
      <c r="E25" s="173"/>
      <c r="F25" s="173"/>
      <c r="G25" s="173"/>
      <c r="H25" s="173"/>
      <c r="I25" s="173"/>
    </row>
    <row r="26" spans="1:9" x14ac:dyDescent="0.25">
      <c r="A26" s="8" t="s">
        <v>25</v>
      </c>
    </row>
    <row r="27" spans="1:9" ht="44.25" customHeight="1" x14ac:dyDescent="0.25">
      <c r="A27" s="174" t="s">
        <v>102</v>
      </c>
      <c r="B27" s="174"/>
      <c r="C27" s="174"/>
      <c r="D27" s="174"/>
      <c r="E27" s="174"/>
      <c r="F27" s="174"/>
      <c r="G27" s="174"/>
      <c r="H27" s="174"/>
      <c r="I27" s="174"/>
    </row>
    <row r="28" spans="1:9" x14ac:dyDescent="0.25">
      <c r="A28" s="175" t="s">
        <v>26</v>
      </c>
      <c r="B28" s="175"/>
      <c r="C28" s="175"/>
      <c r="D28" s="175"/>
      <c r="E28" s="175"/>
      <c r="F28" s="175"/>
      <c r="G28" s="175"/>
      <c r="H28" s="175"/>
      <c r="I28" s="175"/>
    </row>
    <row r="29" spans="1:9" x14ac:dyDescent="0.25">
      <c r="A29" s="176" t="s">
        <v>27</v>
      </c>
      <c r="B29" s="176"/>
      <c r="C29" s="176"/>
      <c r="D29" s="176"/>
      <c r="E29" s="176"/>
      <c r="F29" s="176"/>
      <c r="G29" s="176"/>
      <c r="H29" s="176"/>
      <c r="I29" s="176"/>
    </row>
    <row r="30" spans="1:9" x14ac:dyDescent="0.25">
      <c r="A30" s="177" t="s">
        <v>28</v>
      </c>
      <c r="B30" s="177"/>
      <c r="C30" s="177"/>
      <c r="D30" s="177"/>
      <c r="E30" s="177"/>
      <c r="F30" s="177"/>
      <c r="G30" s="177"/>
      <c r="H30" s="177"/>
      <c r="I30" s="177"/>
    </row>
    <row r="31" spans="1:9" x14ac:dyDescent="0.25">
      <c r="A31" s="174" t="str">
        <f ca="1">INDIRECT("'Форма журнала'!R"&amp;K5&amp;"C4",0)</f>
        <v>Траверса ТМ73</v>
      </c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5" t="s">
        <v>29</v>
      </c>
      <c r="B32" s="175"/>
      <c r="C32" s="175"/>
      <c r="D32" s="175"/>
      <c r="E32" s="175"/>
      <c r="F32" s="175"/>
      <c r="G32" s="175"/>
      <c r="H32" s="175"/>
      <c r="I32" s="175"/>
    </row>
    <row r="33" spans="1:11" x14ac:dyDescent="0.25">
      <c r="A33" s="178" t="s">
        <v>30</v>
      </c>
      <c r="B33" s="178"/>
      <c r="C33" s="178"/>
      <c r="D33" s="178"/>
      <c r="E33" s="178"/>
      <c r="F33" s="178"/>
      <c r="G33" s="178"/>
      <c r="H33" s="178"/>
      <c r="I33" s="178"/>
    </row>
    <row r="34" spans="1:11" ht="24" customHeight="1" x14ac:dyDescent="0.25">
      <c r="A34" s="194" t="str">
        <f ca="1">INDIRECT("'Форма журнала'!R"&amp;K5&amp;"C7",0)</f>
        <v>Сертификат соответствия №РОСС RU.НЕ06.Н05218 от 12.04.2023 сроком действия до 11.04.2026</v>
      </c>
      <c r="B34" s="194"/>
      <c r="C34" s="194"/>
      <c r="D34" s="194"/>
      <c r="E34" s="194"/>
      <c r="F34" s="20" t="s">
        <v>31</v>
      </c>
      <c r="G34" s="195"/>
      <c r="H34" s="195"/>
      <c r="I34" s="195"/>
    </row>
    <row r="35" spans="1:11" x14ac:dyDescent="0.25">
      <c r="A35" s="175" t="s">
        <v>33</v>
      </c>
      <c r="B35" s="175"/>
      <c r="C35" s="175"/>
      <c r="D35" s="175"/>
      <c r="E35" s="175"/>
      <c r="F35" s="21"/>
      <c r="G35" s="175" t="s">
        <v>32</v>
      </c>
      <c r="H35" s="175"/>
      <c r="I35" s="175"/>
    </row>
    <row r="36" spans="1:11" x14ac:dyDescent="0.25">
      <c r="A36" s="177" t="s">
        <v>104</v>
      </c>
      <c r="B36" s="177"/>
      <c r="C36" s="192" t="str">
        <f ca="1">INDIRECT("'Форма журнала'!R"&amp;K5&amp;"C5",0)</f>
        <v>2 шт.</v>
      </c>
      <c r="D36" s="192"/>
      <c r="E36" s="192"/>
      <c r="F36" s="26" t="s">
        <v>68</v>
      </c>
      <c r="G36" s="196"/>
      <c r="H36" s="196"/>
      <c r="I36" s="196"/>
    </row>
    <row r="37" spans="1:11" x14ac:dyDescent="0.25">
      <c r="A37" s="21"/>
      <c r="B37" s="21"/>
      <c r="C37" s="175" t="s">
        <v>35</v>
      </c>
      <c r="D37" s="175"/>
      <c r="E37" s="175"/>
      <c r="F37" s="21"/>
      <c r="G37" s="191" t="s">
        <v>36</v>
      </c>
      <c r="H37" s="191"/>
      <c r="I37" s="191"/>
    </row>
    <row r="38" spans="1:11" x14ac:dyDescent="0.25">
      <c r="A38" s="177" t="s">
        <v>37</v>
      </c>
      <c r="B38" s="177"/>
      <c r="C38" s="174" t="str">
        <f ca="1">INDIRECT("'Форма журнала'!R"&amp;K5&amp;"C6",0)</f>
        <v>ООО "НИЛЕД"</v>
      </c>
      <c r="D38" s="174"/>
      <c r="E38" s="174"/>
      <c r="F38" s="20" t="s">
        <v>38</v>
      </c>
      <c r="G38" s="195"/>
      <c r="H38" s="195"/>
      <c r="I38" s="195"/>
      <c r="K38" s="28"/>
    </row>
    <row r="39" spans="1:11" x14ac:dyDescent="0.25">
      <c r="A39" s="22"/>
      <c r="B39" s="22"/>
      <c r="C39" s="175" t="s">
        <v>39</v>
      </c>
      <c r="D39" s="175"/>
      <c r="E39" s="175"/>
      <c r="F39" s="20"/>
      <c r="G39" s="191" t="s">
        <v>40</v>
      </c>
      <c r="H39" s="191"/>
      <c r="I39" s="191"/>
    </row>
    <row r="40" spans="1:11" x14ac:dyDescent="0.25">
      <c r="A40" s="22" t="s">
        <v>41</v>
      </c>
      <c r="B40" s="22"/>
      <c r="C40" s="21"/>
      <c r="D40" s="21"/>
      <c r="E40" s="21"/>
      <c r="F40" s="197" t="s">
        <v>101</v>
      </c>
      <c r="G40" s="197"/>
      <c r="H40" s="197"/>
      <c r="I40" s="197"/>
    </row>
    <row r="41" spans="1:11" x14ac:dyDescent="0.25">
      <c r="F41" s="198" t="s">
        <v>42</v>
      </c>
      <c r="G41" s="198"/>
      <c r="H41" s="198"/>
      <c r="I41" s="198"/>
    </row>
    <row r="42" spans="1:11" x14ac:dyDescent="0.25">
      <c r="A42" s="199" t="s">
        <v>43</v>
      </c>
      <c r="B42" s="199"/>
      <c r="C42" s="199"/>
      <c r="D42" s="199"/>
      <c r="E42" s="199"/>
      <c r="F42" s="199"/>
      <c r="G42" s="199"/>
      <c r="H42" s="199"/>
      <c r="I42" s="199"/>
    </row>
    <row r="43" spans="1:11" ht="30" customHeight="1" x14ac:dyDescent="0.25">
      <c r="A43" s="202" t="s">
        <v>14</v>
      </c>
      <c r="B43" s="202"/>
      <c r="C43" s="202"/>
      <c r="D43" s="202"/>
      <c r="E43" s="202" t="s">
        <v>17</v>
      </c>
      <c r="F43" s="202" t="s">
        <v>18</v>
      </c>
      <c r="G43" s="202" t="s">
        <v>19</v>
      </c>
      <c r="H43" s="202" t="s">
        <v>20</v>
      </c>
      <c r="I43" s="202" t="s">
        <v>21</v>
      </c>
    </row>
    <row r="44" spans="1:11" ht="32.25" customHeight="1" x14ac:dyDescent="0.25">
      <c r="A44" s="202" t="s">
        <v>15</v>
      </c>
      <c r="B44" s="202"/>
      <c r="C44" s="202" t="s">
        <v>16</v>
      </c>
      <c r="D44" s="202"/>
      <c r="E44" s="202"/>
      <c r="F44" s="202"/>
      <c r="G44" s="202"/>
      <c r="H44" s="202"/>
      <c r="I44" s="202"/>
    </row>
    <row r="45" spans="1:11" x14ac:dyDescent="0.25">
      <c r="A45" s="201">
        <v>1</v>
      </c>
      <c r="B45" s="201"/>
      <c r="C45" s="201">
        <v>2</v>
      </c>
      <c r="D45" s="201"/>
      <c r="E45" s="23">
        <v>3</v>
      </c>
      <c r="F45" s="23">
        <v>4</v>
      </c>
      <c r="G45" s="23">
        <v>5</v>
      </c>
      <c r="H45" s="23">
        <v>6</v>
      </c>
      <c r="I45" s="23">
        <v>7</v>
      </c>
    </row>
    <row r="46" spans="1:11" x14ac:dyDescent="0.25">
      <c r="A46" s="24" t="str">
        <f ca="1">C36</f>
        <v>2 шт.</v>
      </c>
      <c r="B46" s="24"/>
      <c r="C46" s="24"/>
      <c r="D46" s="24"/>
      <c r="E46" s="24"/>
      <c r="F46" s="24"/>
      <c r="G46" s="24"/>
      <c r="H46" s="24"/>
      <c r="I46" s="24" t="s">
        <v>127</v>
      </c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00" t="s">
        <v>44</v>
      </c>
      <c r="B48" s="200"/>
      <c r="C48" s="200"/>
      <c r="D48" s="200"/>
      <c r="E48" s="200"/>
      <c r="F48" s="200"/>
      <c r="G48" s="200"/>
      <c r="H48" s="200"/>
      <c r="I48" s="200"/>
    </row>
    <row r="49" spans="1:9" x14ac:dyDescent="0.25">
      <c r="A49" s="189" t="s">
        <v>45</v>
      </c>
      <c r="B49" s="189"/>
      <c r="C49" s="189"/>
      <c r="D49" s="189"/>
      <c r="E49" s="189"/>
      <c r="F49" s="192" t="s">
        <v>97</v>
      </c>
      <c r="G49" s="192"/>
      <c r="H49" s="192"/>
      <c r="I49" s="192"/>
    </row>
    <row r="50" spans="1:9" ht="10.5" customHeight="1" x14ac:dyDescent="0.25">
      <c r="A50" s="25"/>
      <c r="B50" s="25"/>
      <c r="C50" s="25"/>
      <c r="D50" s="25"/>
      <c r="E50" s="25"/>
      <c r="F50" s="198" t="s">
        <v>47</v>
      </c>
      <c r="G50" s="198"/>
      <c r="H50" s="198"/>
      <c r="I50" s="198"/>
    </row>
    <row r="51" spans="1:9" ht="15" customHeight="1" x14ac:dyDescent="0.25">
      <c r="A51" s="189" t="s">
        <v>46</v>
      </c>
      <c r="B51" s="189"/>
      <c r="C51" s="189"/>
      <c r="D51" s="189"/>
      <c r="E51" s="189"/>
      <c r="F51" s="192" t="s">
        <v>95</v>
      </c>
      <c r="G51" s="192"/>
      <c r="H51" s="192"/>
      <c r="I51" s="192"/>
    </row>
    <row r="52" spans="1:9" ht="12.75" customHeight="1" x14ac:dyDescent="0.25">
      <c r="F52" s="198" t="s">
        <v>48</v>
      </c>
      <c r="G52" s="198"/>
      <c r="H52" s="198"/>
      <c r="I52" s="198"/>
    </row>
    <row r="53" spans="1:9" x14ac:dyDescent="0.25">
      <c r="A53" s="189" t="s">
        <v>49</v>
      </c>
      <c r="B53" s="189"/>
      <c r="C53" s="189"/>
      <c r="D53" s="189"/>
      <c r="E53" s="189"/>
      <c r="F53" s="192" t="s">
        <v>95</v>
      </c>
      <c r="G53" s="192"/>
      <c r="H53" s="192"/>
      <c r="I53" s="192"/>
    </row>
    <row r="54" spans="1:9" ht="11.25" customHeight="1" x14ac:dyDescent="0.25">
      <c r="F54" s="198" t="s">
        <v>48</v>
      </c>
      <c r="G54" s="198"/>
      <c r="H54" s="198"/>
      <c r="I54" s="198"/>
    </row>
    <row r="55" spans="1:9" x14ac:dyDescent="0.25">
      <c r="A55" s="189" t="s">
        <v>50</v>
      </c>
      <c r="B55" s="189"/>
      <c r="C55" s="189"/>
      <c r="D55" s="189"/>
      <c r="E55" s="189"/>
      <c r="F55" s="192" t="s">
        <v>95</v>
      </c>
      <c r="G55" s="192"/>
      <c r="H55" s="192"/>
      <c r="I55" s="192"/>
    </row>
    <row r="56" spans="1:9" ht="10.5" customHeight="1" x14ac:dyDescent="0.25">
      <c r="F56" s="198" t="s">
        <v>48</v>
      </c>
      <c r="G56" s="198"/>
      <c r="H56" s="198"/>
      <c r="I56" s="198"/>
    </row>
    <row r="57" spans="1:9" ht="15" customHeight="1" x14ac:dyDescent="0.25">
      <c r="A57" s="189" t="s">
        <v>51</v>
      </c>
      <c r="B57" s="189"/>
      <c r="C57" s="189"/>
      <c r="D57" s="189"/>
      <c r="E57" s="189"/>
      <c r="F57" s="192" t="str">
        <f ca="1">IF(OR(INDIRECT("'Форма журнала'!R"&amp;K5&amp;"C13",0)="",INDIRECT("'Форма журнала'!R"&amp;K5&amp;"C13",0)=0),"отсутствует",INDIRECT("'Форма журнала'!R"&amp;K5&amp;"C13",0))</f>
        <v>Отсутствует</v>
      </c>
      <c r="G57" s="192"/>
      <c r="H57" s="192"/>
      <c r="I57" s="192"/>
    </row>
    <row r="58" spans="1:9" ht="9.75" customHeight="1" x14ac:dyDescent="0.25">
      <c r="F58" s="198" t="s">
        <v>48</v>
      </c>
      <c r="G58" s="198"/>
      <c r="H58" s="198"/>
      <c r="I58" s="198"/>
    </row>
    <row r="59" spans="1:9" x14ac:dyDescent="0.25">
      <c r="A59" s="189" t="s">
        <v>52</v>
      </c>
      <c r="B59" s="189"/>
      <c r="C59" s="189"/>
      <c r="D59" s="189"/>
      <c r="E59" s="189"/>
      <c r="F59" s="189"/>
      <c r="G59" s="189"/>
      <c r="H59" s="192" t="s">
        <v>98</v>
      </c>
      <c r="I59" s="192"/>
    </row>
    <row r="60" spans="1:9" x14ac:dyDescent="0.25">
      <c r="H60" s="203" t="s">
        <v>53</v>
      </c>
      <c r="I60" s="203"/>
    </row>
    <row r="61" spans="1:9" x14ac:dyDescent="0.25">
      <c r="A61" s="8" t="s">
        <v>54</v>
      </c>
      <c r="B61" s="192" t="s">
        <v>99</v>
      </c>
      <c r="C61" s="192"/>
      <c r="D61" s="192"/>
      <c r="E61" s="8" t="s">
        <v>55</v>
      </c>
      <c r="F61" s="192" t="s">
        <v>100</v>
      </c>
      <c r="G61" s="192"/>
      <c r="H61" s="192"/>
      <c r="I61" s="192"/>
    </row>
    <row r="62" spans="1:9" x14ac:dyDescent="0.25">
      <c r="B62" s="203" t="s">
        <v>57</v>
      </c>
      <c r="C62" s="203"/>
      <c r="D62" s="203"/>
      <c r="F62" s="198" t="s">
        <v>56</v>
      </c>
      <c r="G62" s="198"/>
      <c r="H62" s="198"/>
      <c r="I62" s="198"/>
    </row>
    <row r="63" spans="1:9" x14ac:dyDescent="0.25">
      <c r="A63" s="189" t="s">
        <v>58</v>
      </c>
      <c r="B63" s="189"/>
      <c r="C63" s="189"/>
      <c r="D63" s="189"/>
      <c r="E63" s="189"/>
      <c r="F63" s="189"/>
      <c r="G63" s="189"/>
      <c r="H63" s="189"/>
      <c r="I63" s="189"/>
    </row>
    <row r="64" spans="1:9" x14ac:dyDescent="0.25">
      <c r="A64" s="172"/>
      <c r="B64" s="172"/>
      <c r="C64" s="172"/>
      <c r="D64" s="172"/>
      <c r="E64" s="172"/>
      <c r="F64" s="172"/>
      <c r="G64" s="172"/>
      <c r="H64" s="172"/>
      <c r="I64" s="172"/>
    </row>
    <row r="65" spans="1:9" ht="11.25" customHeight="1" x14ac:dyDescent="0.25">
      <c r="A65" s="198" t="s">
        <v>59</v>
      </c>
      <c r="B65" s="198"/>
      <c r="C65" s="198"/>
      <c r="D65" s="198"/>
      <c r="E65" s="198"/>
      <c r="F65" s="198"/>
      <c r="G65" s="198"/>
      <c r="H65" s="198"/>
      <c r="I65" s="198"/>
    </row>
    <row r="66" spans="1:9" x14ac:dyDescent="0.25">
      <c r="A66" s="172"/>
      <c r="B66" s="172"/>
      <c r="C66" s="172"/>
      <c r="D66" s="172"/>
      <c r="E66" s="172"/>
      <c r="F66" s="172"/>
      <c r="G66" s="172"/>
      <c r="H66" s="172"/>
      <c r="I66" s="172"/>
    </row>
    <row r="67" spans="1:9" ht="12" customHeight="1" x14ac:dyDescent="0.25">
      <c r="A67" s="198" t="s">
        <v>60</v>
      </c>
      <c r="B67" s="198"/>
      <c r="C67" s="198"/>
      <c r="D67" s="198"/>
      <c r="E67" s="198"/>
      <c r="F67" s="198"/>
      <c r="G67" s="198"/>
      <c r="H67" s="198"/>
      <c r="I67" s="198"/>
    </row>
    <row r="68" spans="1:9" x14ac:dyDescent="0.25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ht="8.25" customHeight="1" x14ac:dyDescent="0.25"/>
    <row r="70" spans="1:9" x14ac:dyDescent="0.25">
      <c r="A70" s="204" t="s">
        <v>61</v>
      </c>
      <c r="B70" s="204"/>
      <c r="C70" s="204"/>
      <c r="D70" s="204"/>
      <c r="E70" s="172"/>
      <c r="F70" s="172"/>
      <c r="G70" s="172"/>
      <c r="H70" s="172"/>
      <c r="I70" s="172"/>
    </row>
    <row r="71" spans="1:9" ht="12.75" customHeight="1" x14ac:dyDescent="0.25">
      <c r="E71" s="198" t="s">
        <v>62</v>
      </c>
      <c r="F71" s="198"/>
      <c r="G71" s="198"/>
      <c r="H71" s="198"/>
      <c r="I71" s="198"/>
    </row>
    <row r="73" spans="1:9" ht="28.5" customHeight="1" x14ac:dyDescent="0.25">
      <c r="A73" s="189" t="s">
        <v>63</v>
      </c>
      <c r="B73" s="189"/>
      <c r="C73" s="174" t="str">
        <f>A18</f>
        <v>Директор по строительству ООО «СЭТ» Потоцкий А.А.</v>
      </c>
      <c r="D73" s="174"/>
      <c r="E73" s="174"/>
      <c r="F73" s="174"/>
      <c r="G73" s="174"/>
      <c r="H73" s="174"/>
      <c r="I73" s="174"/>
    </row>
    <row r="74" spans="1:9" ht="12" customHeight="1" x14ac:dyDescent="0.25">
      <c r="C74" s="198" t="s">
        <v>64</v>
      </c>
      <c r="D74" s="198"/>
      <c r="E74" s="198"/>
      <c r="F74" s="198"/>
      <c r="G74" s="198"/>
      <c r="H74" s="198"/>
      <c r="I74" s="198"/>
    </row>
    <row r="76" spans="1:9" x14ac:dyDescent="0.25">
      <c r="A76" s="189" t="s">
        <v>65</v>
      </c>
      <c r="B76" s="189"/>
      <c r="C76" s="174" t="str">
        <f>B20</f>
        <v>Начальник участка ООО «СЭТ» Нугуманов М.А.</v>
      </c>
      <c r="D76" s="174"/>
      <c r="E76" s="174"/>
      <c r="F76" s="174"/>
      <c r="G76" s="174"/>
      <c r="H76" s="174"/>
      <c r="I76" s="174"/>
    </row>
    <row r="77" spans="1:9" ht="11.25" customHeight="1" x14ac:dyDescent="0.25">
      <c r="C77" s="173" t="s">
        <v>64</v>
      </c>
      <c r="D77" s="173"/>
      <c r="E77" s="173"/>
      <c r="F77" s="173"/>
      <c r="G77" s="173"/>
      <c r="H77" s="173"/>
      <c r="I77" s="173"/>
    </row>
    <row r="78" spans="1:9" ht="28.5" customHeight="1" x14ac:dyDescent="0.25">
      <c r="C78" s="174" t="str">
        <f>B22</f>
        <v>Ведущий инженер строительного контроля ООО «СЭТ» Кольцов А.Г.</v>
      </c>
      <c r="D78" s="174"/>
      <c r="E78" s="174"/>
      <c r="F78" s="174"/>
      <c r="G78" s="174"/>
      <c r="H78" s="174"/>
      <c r="I78" s="174"/>
    </row>
    <row r="79" spans="1:9" ht="12" customHeight="1" x14ac:dyDescent="0.25">
      <c r="C79" s="173" t="s">
        <v>64</v>
      </c>
      <c r="D79" s="173"/>
      <c r="E79" s="173"/>
      <c r="F79" s="173"/>
      <c r="G79" s="173"/>
      <c r="H79" s="173"/>
      <c r="I79" s="173"/>
    </row>
    <row r="80" spans="1:9" x14ac:dyDescent="0.25">
      <c r="C80" s="172"/>
      <c r="D80" s="172"/>
      <c r="E80" s="172"/>
      <c r="F80" s="172"/>
      <c r="G80" s="172"/>
      <c r="H80" s="172"/>
      <c r="I80" s="172"/>
    </row>
    <row r="81" spans="1:9" x14ac:dyDescent="0.25">
      <c r="C81" s="173" t="s">
        <v>64</v>
      </c>
      <c r="D81" s="173"/>
      <c r="E81" s="173"/>
      <c r="F81" s="173"/>
      <c r="G81" s="173"/>
      <c r="H81" s="173"/>
      <c r="I81" s="173"/>
    </row>
    <row r="83" spans="1:9" x14ac:dyDescent="0.25">
      <c r="A83" s="189" t="s">
        <v>66</v>
      </c>
      <c r="B83" s="189"/>
      <c r="C83" s="189"/>
    </row>
    <row r="84" spans="1:9" x14ac:dyDescent="0.25">
      <c r="A84" s="192" t="str">
        <f>CONCATENATE(ПОДПИСИ!B13," ",ПОДПИСИ!C13)</f>
        <v>Ведущий инженер отдела строительного контроля АО "ЛЭСР" Сафуанова В.А.</v>
      </c>
      <c r="B84" s="192"/>
      <c r="C84" s="192"/>
      <c r="D84" s="192"/>
      <c r="E84" s="192"/>
      <c r="F84" s="192"/>
      <c r="G84" s="192"/>
      <c r="H84" s="192"/>
      <c r="I84" s="192"/>
    </row>
    <row r="85" spans="1:9" x14ac:dyDescent="0.25">
      <c r="A85" s="191" t="s">
        <v>64</v>
      </c>
      <c r="B85" s="191"/>
      <c r="C85" s="191"/>
      <c r="D85" s="191"/>
      <c r="E85" s="191"/>
      <c r="F85" s="191"/>
      <c r="G85" s="191"/>
      <c r="H85" s="191"/>
      <c r="I85" s="191"/>
    </row>
    <row r="87" spans="1:9" x14ac:dyDescent="0.25">
      <c r="A87" s="189" t="s">
        <v>67</v>
      </c>
      <c r="B87" s="189"/>
      <c r="C87" s="172"/>
      <c r="D87" s="172"/>
      <c r="E87" s="172"/>
      <c r="F87" s="172"/>
      <c r="G87" s="172"/>
      <c r="H87" s="172"/>
      <c r="I87" s="172"/>
    </row>
    <row r="88" spans="1:9" x14ac:dyDescent="0.25">
      <c r="A88" s="172"/>
      <c r="B88" s="172"/>
      <c r="C88" s="172"/>
      <c r="D88" s="172"/>
      <c r="E88" s="172"/>
      <c r="F88" s="172"/>
      <c r="G88" s="172"/>
      <c r="H88" s="172"/>
      <c r="I88" s="172"/>
    </row>
    <row r="89" spans="1:9" x14ac:dyDescent="0.25">
      <c r="A89" s="205"/>
      <c r="B89" s="205"/>
      <c r="C89" s="205"/>
      <c r="D89" s="205"/>
      <c r="E89" s="205"/>
      <c r="F89" s="205"/>
      <c r="G89" s="205"/>
      <c r="H89" s="205"/>
      <c r="I89" s="205"/>
    </row>
  </sheetData>
  <mergeCells count="102">
    <mergeCell ref="A11:I11"/>
    <mergeCell ref="A12:I12"/>
    <mergeCell ref="A13:B13"/>
    <mergeCell ref="G13:I13"/>
    <mergeCell ref="A14:B14"/>
    <mergeCell ref="C15:E15"/>
    <mergeCell ref="A4:I4"/>
    <mergeCell ref="F5:I6"/>
    <mergeCell ref="F7:I7"/>
    <mergeCell ref="D8:I8"/>
    <mergeCell ref="A9:C9"/>
    <mergeCell ref="D9:I9"/>
    <mergeCell ref="B25:I25"/>
    <mergeCell ref="A27:I27"/>
    <mergeCell ref="A28:I28"/>
    <mergeCell ref="A29:I29"/>
    <mergeCell ref="A30:I30"/>
    <mergeCell ref="A31:I31"/>
    <mergeCell ref="A18:I18"/>
    <mergeCell ref="B20:I20"/>
    <mergeCell ref="B21:I21"/>
    <mergeCell ref="B22:I22"/>
    <mergeCell ref="B23:I23"/>
    <mergeCell ref="B24:I24"/>
    <mergeCell ref="A36:B36"/>
    <mergeCell ref="C36:E36"/>
    <mergeCell ref="G36:I36"/>
    <mergeCell ref="C37:E37"/>
    <mergeCell ref="G37:I37"/>
    <mergeCell ref="A38:B38"/>
    <mergeCell ref="C38:E38"/>
    <mergeCell ref="G38:I38"/>
    <mergeCell ref="A32:I32"/>
    <mergeCell ref="A33:I33"/>
    <mergeCell ref="A34:E34"/>
    <mergeCell ref="G34:I34"/>
    <mergeCell ref="A35:E35"/>
    <mergeCell ref="G35:I35"/>
    <mergeCell ref="I43:I44"/>
    <mergeCell ref="A44:B44"/>
    <mergeCell ref="C44:D44"/>
    <mergeCell ref="A45:B45"/>
    <mergeCell ref="C45:D45"/>
    <mergeCell ref="A48:I48"/>
    <mergeCell ref="C39:E39"/>
    <mergeCell ref="G39:I39"/>
    <mergeCell ref="F40:I40"/>
    <mergeCell ref="F41:I41"/>
    <mergeCell ref="A42:I42"/>
    <mergeCell ref="A43:D43"/>
    <mergeCell ref="E43:E44"/>
    <mergeCell ref="F43:F44"/>
    <mergeCell ref="G43:G44"/>
    <mergeCell ref="H43:H44"/>
    <mergeCell ref="A53:E53"/>
    <mergeCell ref="F53:I53"/>
    <mergeCell ref="F54:I54"/>
    <mergeCell ref="A55:E55"/>
    <mergeCell ref="F55:I55"/>
    <mergeCell ref="F56:I56"/>
    <mergeCell ref="A49:E49"/>
    <mergeCell ref="F49:I49"/>
    <mergeCell ref="F50:I50"/>
    <mergeCell ref="A51:E51"/>
    <mergeCell ref="F51:I51"/>
    <mergeCell ref="F52:I52"/>
    <mergeCell ref="B61:D61"/>
    <mergeCell ref="F61:I61"/>
    <mergeCell ref="B62:D62"/>
    <mergeCell ref="F62:I62"/>
    <mergeCell ref="A63:I63"/>
    <mergeCell ref="A64:I64"/>
    <mergeCell ref="A57:E57"/>
    <mergeCell ref="F57:I57"/>
    <mergeCell ref="F58:I58"/>
    <mergeCell ref="A59:G59"/>
    <mergeCell ref="H59:I59"/>
    <mergeCell ref="H60:I60"/>
    <mergeCell ref="E71:I71"/>
    <mergeCell ref="A73:B73"/>
    <mergeCell ref="C73:I73"/>
    <mergeCell ref="C74:I74"/>
    <mergeCell ref="A76:B76"/>
    <mergeCell ref="C76:I76"/>
    <mergeCell ref="A65:I65"/>
    <mergeCell ref="A66:I66"/>
    <mergeCell ref="A67:I67"/>
    <mergeCell ref="A68:I68"/>
    <mergeCell ref="A70:D70"/>
    <mergeCell ref="E70:I70"/>
    <mergeCell ref="A84:I84"/>
    <mergeCell ref="A85:I85"/>
    <mergeCell ref="A87:B87"/>
    <mergeCell ref="C87:I87"/>
    <mergeCell ref="A88:I88"/>
    <mergeCell ref="A89:I89"/>
    <mergeCell ref="C77:I77"/>
    <mergeCell ref="C78:I78"/>
    <mergeCell ref="C79:I79"/>
    <mergeCell ref="C80:I80"/>
    <mergeCell ref="C81:I81"/>
    <mergeCell ref="A83:C83"/>
  </mergeCells>
  <dataValidations count="5">
    <dataValidation type="list" allowBlank="1" showInputMessage="1" showErrorMessage="1" sqref="B61:D61" xr:uid="{9A029620-96EA-454E-BE86-348AA4B58DDD}">
      <formula1>"допущена, не допущена"</formula1>
    </dataValidation>
    <dataValidation type="list" allowBlank="1" showInputMessage="1" showErrorMessage="1" sqref="H59:I59" xr:uid="{DCCCE3FE-BB33-4AAA-8573-C0C83355577F}">
      <formula1>"пригодной, непригодной"</formula1>
    </dataValidation>
    <dataValidation type="list" allowBlank="1" showInputMessage="1" showErrorMessage="1" sqref="F49:I49" xr:uid="{DDD4B446-B3FA-40D7-81B0-71CEC3D8FA47}">
      <formula1>"соответствуют, не соотвествуют"</formula1>
    </dataValidation>
    <dataValidation type="list" allowBlank="1" showInputMessage="1" showErrorMessage="1" sqref="F51:I51 F53:I53 F55:I55" xr:uid="{76745BFD-D525-4DB7-B408-356726F56F19}">
      <formula1>"соответствует, не соотвествует"</formula1>
    </dataValidation>
    <dataValidation type="list" allowBlank="1" showInputMessage="1" showErrorMessage="1" sqref="F40:I40" xr:uid="{DF7428D2-BBDA-470A-964B-A7A1C426A7FE}">
      <formula1>"выполнена, не выполнена"</formula1>
    </dataValidation>
  </dataValidations>
  <pageMargins left="0.25" right="0.25" top="0.75" bottom="0.75" header="0.3" footer="0.3"/>
  <pageSetup paperSize="9" scale="97" orientation="portrait" r:id="rId1"/>
  <rowBreaks count="1" manualBreakCount="1">
    <brk id="39" max="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A86E-B129-4989-BACB-DCCC4BCC5BC0}">
  <sheetPr>
    <tabColor rgb="FF92D050"/>
  </sheetPr>
  <dimension ref="A1:K89"/>
  <sheetViews>
    <sheetView tabSelected="1" view="pageBreakPreview" zoomScale="60" zoomScaleNormal="100" workbookViewId="0"/>
  </sheetViews>
  <sheetFormatPr defaultColWidth="9.109375" defaultRowHeight="13.8" x14ac:dyDescent="0.25"/>
  <cols>
    <col min="1" max="1" width="9.109375" style="8"/>
    <col min="2" max="2" width="7.44140625" style="8" customWidth="1"/>
    <col min="3" max="3" width="7.5546875" style="8" customWidth="1"/>
    <col min="4" max="4" width="8.33203125" style="8" customWidth="1"/>
    <col min="5" max="5" width="17.6640625" style="8" customWidth="1"/>
    <col min="6" max="6" width="14.44140625" style="8" customWidth="1"/>
    <col min="7" max="7" width="10.6640625" style="8" customWidth="1"/>
    <col min="8" max="8" width="11.44140625" style="8" customWidth="1"/>
    <col min="9" max="9" width="11.6640625" style="8" customWidth="1"/>
    <col min="10" max="10" width="9.109375" style="8"/>
    <col min="11" max="11" width="11.109375" style="8" customWidth="1"/>
    <col min="12" max="16384" width="9.109375" style="8"/>
  </cols>
  <sheetData>
    <row r="1" spans="1:11" x14ac:dyDescent="0.25">
      <c r="H1" s="8" t="s">
        <v>5</v>
      </c>
    </row>
    <row r="2" spans="1:11" x14ac:dyDescent="0.25">
      <c r="H2" s="8" t="s">
        <v>6</v>
      </c>
    </row>
    <row r="3" spans="1:11" ht="5.25" customHeight="1" x14ac:dyDescent="0.25">
      <c r="K3" s="76"/>
    </row>
    <row r="4" spans="1:11" ht="14.4" thickBot="1" x14ac:dyDescent="0.3">
      <c r="A4" s="180" t="s">
        <v>7</v>
      </c>
      <c r="B4" s="180"/>
      <c r="C4" s="180"/>
      <c r="D4" s="180"/>
      <c r="E4" s="180"/>
      <c r="F4" s="180"/>
      <c r="G4" s="180"/>
      <c r="H4" s="180"/>
      <c r="I4" s="180"/>
      <c r="K4" s="77" t="str">
        <f ca="1">MID(CELL("имяфайла",A1),SEARCH("]",CELL("имяфайла",A1))+1,LEN(CELL("имяфайла",A1)))</f>
        <v>АВК 16</v>
      </c>
    </row>
    <row r="5" spans="1:11" ht="10.5" customHeight="1" x14ac:dyDescent="0.25">
      <c r="F5" s="181" t="s">
        <v>95</v>
      </c>
      <c r="G5" s="182"/>
      <c r="H5" s="182"/>
      <c r="I5" s="183"/>
      <c r="K5" s="78">
        <f ca="1">RIGHT(K4,LEN(K4)-4)+2</f>
        <v>18</v>
      </c>
    </row>
    <row r="6" spans="1:11" ht="14.4" thickBot="1" x14ac:dyDescent="0.3">
      <c r="F6" s="184"/>
      <c r="G6" s="185"/>
      <c r="H6" s="185"/>
      <c r="I6" s="186"/>
      <c r="K6" s="79"/>
    </row>
    <row r="7" spans="1:11" x14ac:dyDescent="0.25">
      <c r="F7" s="187" t="s">
        <v>8</v>
      </c>
      <c r="G7" s="187"/>
      <c r="H7" s="187"/>
      <c r="I7" s="187"/>
    </row>
    <row r="8" spans="1:11" ht="46.8" customHeight="1" x14ac:dyDescent="0.25">
      <c r="A8" s="8" t="s">
        <v>9</v>
      </c>
      <c r="D8" s="188" t="str">
        <f>'Жвх.к (т)'!C17</f>
        <v xml:space="preserve">Реконструкция ВЛ 10 кВ ДТ-9 от опоры №20 до опоры №115 в части замены опор и провода (протяженностью 8 км), с установкой коммутационных аппаратов в количестве 1 шт. </v>
      </c>
      <c r="E8" s="188"/>
      <c r="F8" s="188"/>
      <c r="G8" s="188"/>
      <c r="H8" s="188"/>
      <c r="I8" s="188"/>
    </row>
    <row r="9" spans="1:11" x14ac:dyDescent="0.25">
      <c r="A9" s="189" t="s">
        <v>10</v>
      </c>
      <c r="B9" s="189"/>
      <c r="C9" s="189"/>
      <c r="D9" s="190" t="s">
        <v>96</v>
      </c>
      <c r="E9" s="190"/>
      <c r="F9" s="190"/>
      <c r="G9" s="190"/>
      <c r="H9" s="190"/>
      <c r="I9" s="190"/>
    </row>
    <row r="11" spans="1:11" x14ac:dyDescent="0.25">
      <c r="A11" s="180" t="str">
        <f ca="1">CONCATENATE("АКТ № ",INDIRECT("'Форма журнала'!R"&amp;K5&amp;"C2",0))</f>
        <v>АКТ № 12</v>
      </c>
      <c r="B11" s="180"/>
      <c r="C11" s="180"/>
      <c r="D11" s="180"/>
      <c r="E11" s="180"/>
      <c r="F11" s="180"/>
      <c r="G11" s="180"/>
      <c r="H11" s="180"/>
      <c r="I11" s="180"/>
    </row>
    <row r="12" spans="1:11" x14ac:dyDescent="0.25">
      <c r="A12" s="180" t="s">
        <v>11</v>
      </c>
      <c r="B12" s="180"/>
      <c r="C12" s="180"/>
      <c r="D12" s="180"/>
      <c r="E12" s="180"/>
      <c r="F12" s="180"/>
      <c r="G12" s="180"/>
      <c r="H12" s="180"/>
      <c r="I12" s="180"/>
    </row>
    <row r="13" spans="1:11" x14ac:dyDescent="0.25">
      <c r="A13" s="172"/>
      <c r="B13" s="172"/>
      <c r="G13" s="193">
        <f ca="1">INDIRECT("'Форма журнала'!R"&amp;K5&amp;"C3",0)</f>
        <v>45607</v>
      </c>
      <c r="H13" s="193"/>
      <c r="I13" s="193"/>
    </row>
    <row r="14" spans="1:11" x14ac:dyDescent="0.25">
      <c r="A14" s="191" t="s">
        <v>12</v>
      </c>
      <c r="B14" s="191"/>
    </row>
    <row r="15" spans="1:11" x14ac:dyDescent="0.25">
      <c r="A15" s="8" t="s">
        <v>13</v>
      </c>
      <c r="C15" s="192" t="str">
        <f>'Жвх.к (т)'!B7</f>
        <v>ООО «СЭТ»</v>
      </c>
      <c r="D15" s="192"/>
      <c r="E15" s="192"/>
      <c r="F15" s="41" t="s">
        <v>523</v>
      </c>
      <c r="G15" s="41"/>
      <c r="H15" s="41"/>
      <c r="I15" s="41"/>
    </row>
    <row r="16" spans="1:11" x14ac:dyDescent="0.25">
      <c r="C16" s="19" t="s">
        <v>22</v>
      </c>
    </row>
    <row r="17" spans="1:9" x14ac:dyDescent="0.25">
      <c r="A17" s="8" t="s">
        <v>34</v>
      </c>
      <c r="C17" s="19"/>
    </row>
    <row r="18" spans="1:9" ht="30.75" customHeight="1" x14ac:dyDescent="0.3">
      <c r="A18" s="179" t="str">
        <f>CONCATENATE(ПОДПИСИ!B7," ",ПОДПИСИ!C7)</f>
        <v>Директор по строительству ООО «СЭТ» Потоцкий А.А.</v>
      </c>
      <c r="B18" s="179"/>
      <c r="C18" s="179"/>
      <c r="D18" s="179"/>
      <c r="E18" s="179"/>
      <c r="F18" s="179"/>
      <c r="G18" s="179"/>
      <c r="H18" s="179"/>
      <c r="I18" s="179"/>
    </row>
    <row r="19" spans="1:9" x14ac:dyDescent="0.25">
      <c r="A19" s="8" t="s">
        <v>23</v>
      </c>
    </row>
    <row r="20" spans="1:9" x14ac:dyDescent="0.25">
      <c r="B20" s="174" t="str">
        <f>CONCATENATE(ПОДПИСИ!B9," ",ПОДПИСИ!C9)</f>
        <v>Начальник участка ООО «СЭТ» Нугуманов М.А.</v>
      </c>
      <c r="C20" s="174"/>
      <c r="D20" s="174"/>
      <c r="E20" s="174"/>
      <c r="F20" s="174"/>
      <c r="G20" s="174"/>
      <c r="H20" s="174"/>
      <c r="I20" s="174"/>
    </row>
    <row r="21" spans="1:9" ht="9" customHeight="1" x14ac:dyDescent="0.25">
      <c r="B21" s="173" t="s">
        <v>24</v>
      </c>
      <c r="C21" s="173"/>
      <c r="D21" s="173"/>
      <c r="E21" s="173"/>
      <c r="F21" s="173"/>
      <c r="G21" s="173"/>
      <c r="H21" s="173"/>
      <c r="I21" s="173"/>
    </row>
    <row r="22" spans="1:9" ht="30.75" customHeight="1" x14ac:dyDescent="0.25">
      <c r="B22" s="174" t="str">
        <f>CONCATENATE(ПОДПИСИ!B11," ",ПОДПИСИ!C11)</f>
        <v>Ведущий инженер строительного контроля ООО «СЭТ» Кольцов А.Г.</v>
      </c>
      <c r="C22" s="174"/>
      <c r="D22" s="174"/>
      <c r="E22" s="174"/>
      <c r="F22" s="174"/>
      <c r="G22" s="174"/>
      <c r="H22" s="174"/>
      <c r="I22" s="174"/>
    </row>
    <row r="23" spans="1:9" ht="11.25" customHeight="1" x14ac:dyDescent="0.25">
      <c r="B23" s="173" t="s">
        <v>24</v>
      </c>
      <c r="C23" s="173"/>
      <c r="D23" s="173"/>
      <c r="E23" s="173"/>
      <c r="F23" s="173"/>
      <c r="G23" s="173"/>
      <c r="H23" s="173"/>
      <c r="I23" s="173"/>
    </row>
    <row r="24" spans="1:9" x14ac:dyDescent="0.25">
      <c r="B24" s="172"/>
      <c r="C24" s="172"/>
      <c r="D24" s="172"/>
      <c r="E24" s="172"/>
      <c r="F24" s="172"/>
      <c r="G24" s="172"/>
      <c r="H24" s="172"/>
      <c r="I24" s="172"/>
    </row>
    <row r="25" spans="1:9" ht="10.5" customHeight="1" x14ac:dyDescent="0.25">
      <c r="B25" s="173" t="s">
        <v>24</v>
      </c>
      <c r="C25" s="173"/>
      <c r="D25" s="173"/>
      <c r="E25" s="173"/>
      <c r="F25" s="173"/>
      <c r="G25" s="173"/>
      <c r="H25" s="173"/>
      <c r="I25" s="173"/>
    </row>
    <row r="26" spans="1:9" x14ac:dyDescent="0.25">
      <c r="A26" s="8" t="s">
        <v>25</v>
      </c>
    </row>
    <row r="27" spans="1:9" ht="44.25" customHeight="1" x14ac:dyDescent="0.25">
      <c r="A27" s="174" t="s">
        <v>102</v>
      </c>
      <c r="B27" s="174"/>
      <c r="C27" s="174"/>
      <c r="D27" s="174"/>
      <c r="E27" s="174"/>
      <c r="F27" s="174"/>
      <c r="G27" s="174"/>
      <c r="H27" s="174"/>
      <c r="I27" s="174"/>
    </row>
    <row r="28" spans="1:9" x14ac:dyDescent="0.25">
      <c r="A28" s="175" t="s">
        <v>26</v>
      </c>
      <c r="B28" s="175"/>
      <c r="C28" s="175"/>
      <c r="D28" s="175"/>
      <c r="E28" s="175"/>
      <c r="F28" s="175"/>
      <c r="G28" s="175"/>
      <c r="H28" s="175"/>
      <c r="I28" s="175"/>
    </row>
    <row r="29" spans="1:9" x14ac:dyDescent="0.25">
      <c r="A29" s="176" t="s">
        <v>27</v>
      </c>
      <c r="B29" s="176"/>
      <c r="C29" s="176"/>
      <c r="D29" s="176"/>
      <c r="E29" s="176"/>
      <c r="F29" s="176"/>
      <c r="G29" s="176"/>
      <c r="H29" s="176"/>
      <c r="I29" s="176"/>
    </row>
    <row r="30" spans="1:9" x14ac:dyDescent="0.25">
      <c r="A30" s="177" t="s">
        <v>28</v>
      </c>
      <c r="B30" s="177"/>
      <c r="C30" s="177"/>
      <c r="D30" s="177"/>
      <c r="E30" s="177"/>
      <c r="F30" s="177"/>
      <c r="G30" s="177"/>
      <c r="H30" s="177"/>
      <c r="I30" s="177"/>
    </row>
    <row r="31" spans="1:9" x14ac:dyDescent="0.25">
      <c r="A31" s="174" t="str">
        <f ca="1">INDIRECT("'Форма журнала'!R"&amp;K5&amp;"C4",0)</f>
        <v>Траверса ТМ74</v>
      </c>
      <c r="B31" s="174"/>
      <c r="C31" s="174"/>
      <c r="D31" s="174"/>
      <c r="E31" s="174"/>
      <c r="F31" s="174"/>
      <c r="G31" s="174"/>
      <c r="H31" s="174"/>
      <c r="I31" s="174"/>
    </row>
    <row r="32" spans="1:9" x14ac:dyDescent="0.25">
      <c r="A32" s="175" t="s">
        <v>29</v>
      </c>
      <c r="B32" s="175"/>
      <c r="C32" s="175"/>
      <c r="D32" s="175"/>
      <c r="E32" s="175"/>
      <c r="F32" s="175"/>
      <c r="G32" s="175"/>
      <c r="H32" s="175"/>
      <c r="I32" s="175"/>
    </row>
    <row r="33" spans="1:11" x14ac:dyDescent="0.25">
      <c r="A33" s="178" t="s">
        <v>30</v>
      </c>
      <c r="B33" s="178"/>
      <c r="C33" s="178"/>
      <c r="D33" s="178"/>
      <c r="E33" s="178"/>
      <c r="F33" s="178"/>
      <c r="G33" s="178"/>
      <c r="H33" s="178"/>
      <c r="I33" s="178"/>
    </row>
    <row r="34" spans="1:11" ht="24" customHeight="1" x14ac:dyDescent="0.25">
      <c r="A34" s="194" t="str">
        <f ca="1">INDIRECT("'Форма журнала'!R"&amp;K5&amp;"C7",0)</f>
        <v>Сертификат соответствия №РОСС RU.НЕ06.Н05218 от 12.04.2023 сроком действия до 11.04.2026</v>
      </c>
      <c r="B34" s="194"/>
      <c r="C34" s="194"/>
      <c r="D34" s="194"/>
      <c r="E34" s="194"/>
      <c r="F34" s="20" t="s">
        <v>31</v>
      </c>
      <c r="G34" s="195"/>
      <c r="H34" s="195"/>
      <c r="I34" s="195"/>
    </row>
    <row r="35" spans="1:11" x14ac:dyDescent="0.25">
      <c r="A35" s="175" t="s">
        <v>33</v>
      </c>
      <c r="B35" s="175"/>
      <c r="C35" s="175"/>
      <c r="D35" s="175"/>
      <c r="E35" s="175"/>
      <c r="F35" s="21"/>
      <c r="G35" s="175" t="s">
        <v>32</v>
      </c>
      <c r="H35" s="175"/>
      <c r="I35" s="175"/>
    </row>
    <row r="36" spans="1:11" x14ac:dyDescent="0.25">
      <c r="A36" s="177" t="s">
        <v>104</v>
      </c>
      <c r="B36" s="177"/>
      <c r="C36" s="192" t="str">
        <f ca="1">INDIRECT("'Форма журнала'!R"&amp;K5&amp;"C5",0)</f>
        <v>2 шт.</v>
      </c>
      <c r="D36" s="192"/>
      <c r="E36" s="192"/>
      <c r="F36" s="26" t="s">
        <v>68</v>
      </c>
      <c r="G36" s="196"/>
      <c r="H36" s="196"/>
      <c r="I36" s="196"/>
    </row>
    <row r="37" spans="1:11" x14ac:dyDescent="0.25">
      <c r="A37" s="21"/>
      <c r="B37" s="21"/>
      <c r="C37" s="175" t="s">
        <v>35</v>
      </c>
      <c r="D37" s="175"/>
      <c r="E37" s="175"/>
      <c r="F37" s="21"/>
      <c r="G37" s="191" t="s">
        <v>36</v>
      </c>
      <c r="H37" s="191"/>
      <c r="I37" s="191"/>
    </row>
    <row r="38" spans="1:11" ht="26.4" customHeight="1" x14ac:dyDescent="0.25">
      <c r="A38" s="177" t="s">
        <v>37</v>
      </c>
      <c r="B38" s="177"/>
      <c r="C38" s="174" t="str">
        <f ca="1">INDIRECT("'Форма журнала'!R"&amp;K5&amp;"C6",0)</f>
        <v>ООО "НИЛЕД"</v>
      </c>
      <c r="D38" s="174"/>
      <c r="E38" s="174"/>
      <c r="F38" s="20" t="s">
        <v>38</v>
      </c>
      <c r="G38" s="195"/>
      <c r="H38" s="195"/>
      <c r="I38" s="195"/>
      <c r="K38" s="28"/>
    </row>
    <row r="39" spans="1:11" x14ac:dyDescent="0.25">
      <c r="A39" s="22"/>
      <c r="B39" s="22"/>
      <c r="C39" s="175" t="s">
        <v>39</v>
      </c>
      <c r="D39" s="175"/>
      <c r="E39" s="175"/>
      <c r="F39" s="20"/>
      <c r="G39" s="191" t="s">
        <v>40</v>
      </c>
      <c r="H39" s="191"/>
      <c r="I39" s="191"/>
    </row>
    <row r="40" spans="1:11" x14ac:dyDescent="0.25">
      <c r="A40" s="22" t="s">
        <v>41</v>
      </c>
      <c r="B40" s="22"/>
      <c r="C40" s="21"/>
      <c r="D40" s="21"/>
      <c r="E40" s="21"/>
      <c r="F40" s="197" t="s">
        <v>101</v>
      </c>
      <c r="G40" s="197"/>
      <c r="H40" s="197"/>
      <c r="I40" s="197"/>
    </row>
    <row r="41" spans="1:11" x14ac:dyDescent="0.25">
      <c r="F41" s="198" t="s">
        <v>42</v>
      </c>
      <c r="G41" s="198"/>
      <c r="H41" s="198"/>
      <c r="I41" s="198"/>
    </row>
    <row r="42" spans="1:11" x14ac:dyDescent="0.25">
      <c r="A42" s="199" t="s">
        <v>43</v>
      </c>
      <c r="B42" s="199"/>
      <c r="C42" s="199"/>
      <c r="D42" s="199"/>
      <c r="E42" s="199"/>
      <c r="F42" s="199"/>
      <c r="G42" s="199"/>
      <c r="H42" s="199"/>
      <c r="I42" s="199"/>
    </row>
    <row r="43" spans="1:11" ht="30" customHeight="1" x14ac:dyDescent="0.25">
      <c r="A43" s="202" t="s">
        <v>14</v>
      </c>
      <c r="B43" s="202"/>
      <c r="C43" s="202"/>
      <c r="D43" s="202"/>
      <c r="E43" s="202" t="s">
        <v>17</v>
      </c>
      <c r="F43" s="202" t="s">
        <v>18</v>
      </c>
      <c r="G43" s="202" t="s">
        <v>19</v>
      </c>
      <c r="H43" s="202" t="s">
        <v>20</v>
      </c>
      <c r="I43" s="202" t="s">
        <v>21</v>
      </c>
    </row>
    <row r="44" spans="1:11" ht="32.25" customHeight="1" x14ac:dyDescent="0.25">
      <c r="A44" s="202" t="s">
        <v>15</v>
      </c>
      <c r="B44" s="202"/>
      <c r="C44" s="202" t="s">
        <v>16</v>
      </c>
      <c r="D44" s="202"/>
      <c r="E44" s="202"/>
      <c r="F44" s="202"/>
      <c r="G44" s="202"/>
      <c r="H44" s="202"/>
      <c r="I44" s="202"/>
    </row>
    <row r="45" spans="1:11" x14ac:dyDescent="0.25">
      <c r="A45" s="201">
        <v>1</v>
      </c>
      <c r="B45" s="201"/>
      <c r="C45" s="201">
        <v>2</v>
      </c>
      <c r="D45" s="201"/>
      <c r="E45" s="23">
        <v>3</v>
      </c>
      <c r="F45" s="23">
        <v>4</v>
      </c>
      <c r="G45" s="23">
        <v>5</v>
      </c>
      <c r="H45" s="23">
        <v>6</v>
      </c>
      <c r="I45" s="23">
        <v>7</v>
      </c>
    </row>
    <row r="46" spans="1:11" x14ac:dyDescent="0.25">
      <c r="A46" s="24" t="str">
        <f ca="1">C36</f>
        <v>2 шт.</v>
      </c>
      <c r="B46" s="24"/>
      <c r="C46" s="24"/>
      <c r="D46" s="24"/>
      <c r="E46" s="24"/>
      <c r="F46" s="24"/>
      <c r="G46" s="24"/>
      <c r="H46" s="24"/>
      <c r="I46" s="24" t="s">
        <v>127</v>
      </c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00" t="s">
        <v>44</v>
      </c>
      <c r="B48" s="200"/>
      <c r="C48" s="200"/>
      <c r="D48" s="200"/>
      <c r="E48" s="200"/>
      <c r="F48" s="200"/>
      <c r="G48" s="200"/>
      <c r="H48" s="200"/>
      <c r="I48" s="200"/>
    </row>
    <row r="49" spans="1:9" x14ac:dyDescent="0.25">
      <c r="A49" s="189" t="s">
        <v>45</v>
      </c>
      <c r="B49" s="189"/>
      <c r="C49" s="189"/>
      <c r="D49" s="189"/>
      <c r="E49" s="189"/>
      <c r="F49" s="192" t="s">
        <v>97</v>
      </c>
      <c r="G49" s="192"/>
      <c r="H49" s="192"/>
      <c r="I49" s="192"/>
    </row>
    <row r="50" spans="1:9" ht="10.5" customHeight="1" x14ac:dyDescent="0.25">
      <c r="A50" s="25"/>
      <c r="B50" s="25"/>
      <c r="C50" s="25"/>
      <c r="D50" s="25"/>
      <c r="E50" s="25"/>
      <c r="F50" s="198" t="s">
        <v>47</v>
      </c>
      <c r="G50" s="198"/>
      <c r="H50" s="198"/>
      <c r="I50" s="198"/>
    </row>
    <row r="51" spans="1:9" ht="15" customHeight="1" x14ac:dyDescent="0.25">
      <c r="A51" s="189" t="s">
        <v>46</v>
      </c>
      <c r="B51" s="189"/>
      <c r="C51" s="189"/>
      <c r="D51" s="189"/>
      <c r="E51" s="189"/>
      <c r="F51" s="192" t="s">
        <v>95</v>
      </c>
      <c r="G51" s="192"/>
      <c r="H51" s="192"/>
      <c r="I51" s="192"/>
    </row>
    <row r="52" spans="1:9" ht="12.75" customHeight="1" x14ac:dyDescent="0.25">
      <c r="F52" s="198" t="s">
        <v>48</v>
      </c>
      <c r="G52" s="198"/>
      <c r="H52" s="198"/>
      <c r="I52" s="198"/>
    </row>
    <row r="53" spans="1:9" x14ac:dyDescent="0.25">
      <c r="A53" s="189" t="s">
        <v>49</v>
      </c>
      <c r="B53" s="189"/>
      <c r="C53" s="189"/>
      <c r="D53" s="189"/>
      <c r="E53" s="189"/>
      <c r="F53" s="192" t="s">
        <v>95</v>
      </c>
      <c r="G53" s="192"/>
      <c r="H53" s="192"/>
      <c r="I53" s="192"/>
    </row>
    <row r="54" spans="1:9" ht="11.25" customHeight="1" x14ac:dyDescent="0.25">
      <c r="F54" s="198" t="s">
        <v>48</v>
      </c>
      <c r="G54" s="198"/>
      <c r="H54" s="198"/>
      <c r="I54" s="198"/>
    </row>
    <row r="55" spans="1:9" x14ac:dyDescent="0.25">
      <c r="A55" s="189" t="s">
        <v>50</v>
      </c>
      <c r="B55" s="189"/>
      <c r="C55" s="189"/>
      <c r="D55" s="189"/>
      <c r="E55" s="189"/>
      <c r="F55" s="192" t="s">
        <v>95</v>
      </c>
      <c r="G55" s="192"/>
      <c r="H55" s="192"/>
      <c r="I55" s="192"/>
    </row>
    <row r="56" spans="1:9" ht="10.5" customHeight="1" x14ac:dyDescent="0.25">
      <c r="F56" s="198" t="s">
        <v>48</v>
      </c>
      <c r="G56" s="198"/>
      <c r="H56" s="198"/>
      <c r="I56" s="198"/>
    </row>
    <row r="57" spans="1:9" ht="15" customHeight="1" x14ac:dyDescent="0.25">
      <c r="A57" s="189" t="s">
        <v>51</v>
      </c>
      <c r="B57" s="189"/>
      <c r="C57" s="189"/>
      <c r="D57" s="189"/>
      <c r="E57" s="189"/>
      <c r="F57" s="192" t="str">
        <f ca="1">IF(OR(INDIRECT("'Форма журнала'!R"&amp;K5&amp;"C13",0)="",INDIRECT("'Форма журнала'!R"&amp;K5&amp;"C13",0)=0),"отсутствует",INDIRECT("'Форма журнала'!R"&amp;K5&amp;"C13",0))</f>
        <v>Отсутствует</v>
      </c>
      <c r="G57" s="192"/>
      <c r="H57" s="192"/>
      <c r="I57" s="192"/>
    </row>
    <row r="58" spans="1:9" ht="9.75" customHeight="1" x14ac:dyDescent="0.25">
      <c r="F58" s="198" t="s">
        <v>48</v>
      </c>
      <c r="G58" s="198"/>
      <c r="H58" s="198"/>
      <c r="I58" s="198"/>
    </row>
    <row r="59" spans="1:9" x14ac:dyDescent="0.25">
      <c r="A59" s="189" t="s">
        <v>52</v>
      </c>
      <c r="B59" s="189"/>
      <c r="C59" s="189"/>
      <c r="D59" s="189"/>
      <c r="E59" s="189"/>
      <c r="F59" s="189"/>
      <c r="G59" s="189"/>
      <c r="H59" s="192" t="s">
        <v>98</v>
      </c>
      <c r="I59" s="192"/>
    </row>
    <row r="60" spans="1:9" x14ac:dyDescent="0.25">
      <c r="H60" s="203" t="s">
        <v>53</v>
      </c>
      <c r="I60" s="203"/>
    </row>
    <row r="61" spans="1:9" x14ac:dyDescent="0.25">
      <c r="A61" s="8" t="s">
        <v>54</v>
      </c>
      <c r="B61" s="192" t="s">
        <v>99</v>
      </c>
      <c r="C61" s="192"/>
      <c r="D61" s="192"/>
      <c r="E61" s="8" t="s">
        <v>55</v>
      </c>
      <c r="F61" s="192" t="s">
        <v>100</v>
      </c>
      <c r="G61" s="192"/>
      <c r="H61" s="192"/>
      <c r="I61" s="192"/>
    </row>
    <row r="62" spans="1:9" x14ac:dyDescent="0.25">
      <c r="B62" s="203" t="s">
        <v>57</v>
      </c>
      <c r="C62" s="203"/>
      <c r="D62" s="203"/>
      <c r="F62" s="198" t="s">
        <v>56</v>
      </c>
      <c r="G62" s="198"/>
      <c r="H62" s="198"/>
      <c r="I62" s="198"/>
    </row>
    <row r="63" spans="1:9" x14ac:dyDescent="0.25">
      <c r="A63" s="189" t="s">
        <v>58</v>
      </c>
      <c r="B63" s="189"/>
      <c r="C63" s="189"/>
      <c r="D63" s="189"/>
      <c r="E63" s="189"/>
      <c r="F63" s="189"/>
      <c r="G63" s="189"/>
      <c r="H63" s="189"/>
      <c r="I63" s="189"/>
    </row>
    <row r="64" spans="1:9" x14ac:dyDescent="0.25">
      <c r="A64" s="172"/>
      <c r="B64" s="172"/>
      <c r="C64" s="172"/>
      <c r="D64" s="172"/>
      <c r="E64" s="172"/>
      <c r="F64" s="172"/>
      <c r="G64" s="172"/>
      <c r="H64" s="172"/>
      <c r="I64" s="172"/>
    </row>
    <row r="65" spans="1:9" ht="11.25" customHeight="1" x14ac:dyDescent="0.25">
      <c r="A65" s="198" t="s">
        <v>59</v>
      </c>
      <c r="B65" s="198"/>
      <c r="C65" s="198"/>
      <c r="D65" s="198"/>
      <c r="E65" s="198"/>
      <c r="F65" s="198"/>
      <c r="G65" s="198"/>
      <c r="H65" s="198"/>
      <c r="I65" s="198"/>
    </row>
    <row r="66" spans="1:9" x14ac:dyDescent="0.25">
      <c r="A66" s="172"/>
      <c r="B66" s="172"/>
      <c r="C66" s="172"/>
      <c r="D66" s="172"/>
      <c r="E66" s="172"/>
      <c r="F66" s="172"/>
      <c r="G66" s="172"/>
      <c r="H66" s="172"/>
      <c r="I66" s="172"/>
    </row>
    <row r="67" spans="1:9" ht="12" customHeight="1" x14ac:dyDescent="0.25">
      <c r="A67" s="198" t="s">
        <v>60</v>
      </c>
      <c r="B67" s="198"/>
      <c r="C67" s="198"/>
      <c r="D67" s="198"/>
      <c r="E67" s="198"/>
      <c r="F67" s="198"/>
      <c r="G67" s="198"/>
      <c r="H67" s="198"/>
      <c r="I67" s="198"/>
    </row>
    <row r="68" spans="1:9" x14ac:dyDescent="0.25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ht="8.25" customHeight="1" x14ac:dyDescent="0.25"/>
    <row r="70" spans="1:9" x14ac:dyDescent="0.25">
      <c r="A70" s="204" t="s">
        <v>61</v>
      </c>
      <c r="B70" s="204"/>
      <c r="C70" s="204"/>
      <c r="D70" s="204"/>
      <c r="E70" s="172"/>
      <c r="F70" s="172"/>
      <c r="G70" s="172"/>
      <c r="H70" s="172"/>
      <c r="I70" s="172"/>
    </row>
    <row r="71" spans="1:9" ht="12.75" customHeight="1" x14ac:dyDescent="0.25">
      <c r="E71" s="198" t="s">
        <v>62</v>
      </c>
      <c r="F71" s="198"/>
      <c r="G71" s="198"/>
      <c r="H71" s="198"/>
      <c r="I71" s="198"/>
    </row>
    <row r="73" spans="1:9" ht="28.5" customHeight="1" x14ac:dyDescent="0.25">
      <c r="A73" s="189" t="s">
        <v>63</v>
      </c>
      <c r="B73" s="189"/>
      <c r="C73" s="174" t="str">
        <f>A18</f>
        <v>Директор по строительству ООО «СЭТ» Потоцкий А.А.</v>
      </c>
      <c r="D73" s="174"/>
      <c r="E73" s="174"/>
      <c r="F73" s="174"/>
      <c r="G73" s="174"/>
      <c r="H73" s="174"/>
      <c r="I73" s="174"/>
    </row>
    <row r="74" spans="1:9" ht="12" customHeight="1" x14ac:dyDescent="0.25">
      <c r="C74" s="198" t="s">
        <v>64</v>
      </c>
      <c r="D74" s="198"/>
      <c r="E74" s="198"/>
      <c r="F74" s="198"/>
      <c r="G74" s="198"/>
      <c r="H74" s="198"/>
      <c r="I74" s="198"/>
    </row>
    <row r="76" spans="1:9" x14ac:dyDescent="0.25">
      <c r="A76" s="189" t="s">
        <v>65</v>
      </c>
      <c r="B76" s="189"/>
      <c r="C76" s="174" t="str">
        <f>B20</f>
        <v>Начальник участка ООО «СЭТ» Нугуманов М.А.</v>
      </c>
      <c r="D76" s="174"/>
      <c r="E76" s="174"/>
      <c r="F76" s="174"/>
      <c r="G76" s="174"/>
      <c r="H76" s="174"/>
      <c r="I76" s="174"/>
    </row>
    <row r="77" spans="1:9" ht="11.25" customHeight="1" x14ac:dyDescent="0.25">
      <c r="C77" s="173" t="s">
        <v>64</v>
      </c>
      <c r="D77" s="173"/>
      <c r="E77" s="173"/>
      <c r="F77" s="173"/>
      <c r="G77" s="173"/>
      <c r="H77" s="173"/>
      <c r="I77" s="173"/>
    </row>
    <row r="78" spans="1:9" ht="28.5" customHeight="1" x14ac:dyDescent="0.25">
      <c r="C78" s="174" t="str">
        <f>B22</f>
        <v>Ведущий инженер строительного контроля ООО «СЭТ» Кольцов А.Г.</v>
      </c>
      <c r="D78" s="174"/>
      <c r="E78" s="174"/>
      <c r="F78" s="174"/>
      <c r="G78" s="174"/>
      <c r="H78" s="174"/>
      <c r="I78" s="174"/>
    </row>
    <row r="79" spans="1:9" ht="12" customHeight="1" x14ac:dyDescent="0.25">
      <c r="C79" s="173" t="s">
        <v>64</v>
      </c>
      <c r="D79" s="173"/>
      <c r="E79" s="173"/>
      <c r="F79" s="173"/>
      <c r="G79" s="173"/>
      <c r="H79" s="173"/>
      <c r="I79" s="173"/>
    </row>
    <row r="80" spans="1:9" x14ac:dyDescent="0.25">
      <c r="C80" s="172"/>
      <c r="D80" s="172"/>
      <c r="E80" s="172"/>
      <c r="F80" s="172"/>
      <c r="G80" s="172"/>
      <c r="H80" s="172"/>
      <c r="I80" s="172"/>
    </row>
    <row r="81" spans="1:9" x14ac:dyDescent="0.25">
      <c r="C81" s="173" t="s">
        <v>64</v>
      </c>
      <c r="D81" s="173"/>
      <c r="E81" s="173"/>
      <c r="F81" s="173"/>
      <c r="G81" s="173"/>
      <c r="H81" s="173"/>
      <c r="I81" s="173"/>
    </row>
    <row r="83" spans="1:9" x14ac:dyDescent="0.25">
      <c r="A83" s="189" t="s">
        <v>66</v>
      </c>
      <c r="B83" s="189"/>
      <c r="C83" s="189"/>
    </row>
    <row r="84" spans="1:9" x14ac:dyDescent="0.25">
      <c r="A84" s="192" t="str">
        <f>CONCATENATE(ПОДПИСИ!B13," ",ПОДПИСИ!C13)</f>
        <v>Ведущий инженер отдела строительного контроля АО "ЛЭСР" Сафуанова В.А.</v>
      </c>
      <c r="B84" s="192"/>
      <c r="C84" s="192"/>
      <c r="D84" s="192"/>
      <c r="E84" s="192"/>
      <c r="F84" s="192"/>
      <c r="G84" s="192"/>
      <c r="H84" s="192"/>
      <c r="I84" s="192"/>
    </row>
    <row r="85" spans="1:9" x14ac:dyDescent="0.25">
      <c r="A85" s="191" t="s">
        <v>64</v>
      </c>
      <c r="B85" s="191"/>
      <c r="C85" s="191"/>
      <c r="D85" s="191"/>
      <c r="E85" s="191"/>
      <c r="F85" s="191"/>
      <c r="G85" s="191"/>
      <c r="H85" s="191"/>
      <c r="I85" s="191"/>
    </row>
    <row r="87" spans="1:9" x14ac:dyDescent="0.25">
      <c r="A87" s="189" t="s">
        <v>67</v>
      </c>
      <c r="B87" s="189"/>
      <c r="C87" s="172"/>
      <c r="D87" s="172"/>
      <c r="E87" s="172"/>
      <c r="F87" s="172"/>
      <c r="G87" s="172"/>
      <c r="H87" s="172"/>
      <c r="I87" s="172"/>
    </row>
    <row r="88" spans="1:9" x14ac:dyDescent="0.25">
      <c r="A88" s="172"/>
      <c r="B88" s="172"/>
      <c r="C88" s="172"/>
      <c r="D88" s="172"/>
      <c r="E88" s="172"/>
      <c r="F88" s="172"/>
      <c r="G88" s="172"/>
      <c r="H88" s="172"/>
      <c r="I88" s="172"/>
    </row>
    <row r="89" spans="1:9" x14ac:dyDescent="0.25">
      <c r="A89" s="205"/>
      <c r="B89" s="205"/>
      <c r="C89" s="205"/>
      <c r="D89" s="205"/>
      <c r="E89" s="205"/>
      <c r="F89" s="205"/>
      <c r="G89" s="205"/>
      <c r="H89" s="205"/>
      <c r="I89" s="205"/>
    </row>
  </sheetData>
  <mergeCells count="102">
    <mergeCell ref="A11:I11"/>
    <mergeCell ref="A12:I12"/>
    <mergeCell ref="A13:B13"/>
    <mergeCell ref="G13:I13"/>
    <mergeCell ref="A14:B14"/>
    <mergeCell ref="C15:E15"/>
    <mergeCell ref="A4:I4"/>
    <mergeCell ref="F5:I6"/>
    <mergeCell ref="F7:I7"/>
    <mergeCell ref="D8:I8"/>
    <mergeCell ref="A9:C9"/>
    <mergeCell ref="D9:I9"/>
    <mergeCell ref="B25:I25"/>
    <mergeCell ref="A27:I27"/>
    <mergeCell ref="A28:I28"/>
    <mergeCell ref="A29:I29"/>
    <mergeCell ref="A30:I30"/>
    <mergeCell ref="A31:I31"/>
    <mergeCell ref="A18:I18"/>
    <mergeCell ref="B20:I20"/>
    <mergeCell ref="B21:I21"/>
    <mergeCell ref="B22:I22"/>
    <mergeCell ref="B23:I23"/>
    <mergeCell ref="B24:I24"/>
    <mergeCell ref="A36:B36"/>
    <mergeCell ref="C36:E36"/>
    <mergeCell ref="G36:I36"/>
    <mergeCell ref="C37:E37"/>
    <mergeCell ref="G37:I37"/>
    <mergeCell ref="A38:B38"/>
    <mergeCell ref="C38:E38"/>
    <mergeCell ref="G38:I38"/>
    <mergeCell ref="A32:I32"/>
    <mergeCell ref="A33:I33"/>
    <mergeCell ref="A34:E34"/>
    <mergeCell ref="G34:I34"/>
    <mergeCell ref="A35:E35"/>
    <mergeCell ref="G35:I35"/>
    <mergeCell ref="I43:I44"/>
    <mergeCell ref="A44:B44"/>
    <mergeCell ref="C44:D44"/>
    <mergeCell ref="A45:B45"/>
    <mergeCell ref="C45:D45"/>
    <mergeCell ref="A48:I48"/>
    <mergeCell ref="C39:E39"/>
    <mergeCell ref="G39:I39"/>
    <mergeCell ref="F40:I40"/>
    <mergeCell ref="F41:I41"/>
    <mergeCell ref="A42:I42"/>
    <mergeCell ref="A43:D43"/>
    <mergeCell ref="E43:E44"/>
    <mergeCell ref="F43:F44"/>
    <mergeCell ref="G43:G44"/>
    <mergeCell ref="H43:H44"/>
    <mergeCell ref="A53:E53"/>
    <mergeCell ref="F53:I53"/>
    <mergeCell ref="F54:I54"/>
    <mergeCell ref="A55:E55"/>
    <mergeCell ref="F55:I55"/>
    <mergeCell ref="F56:I56"/>
    <mergeCell ref="A49:E49"/>
    <mergeCell ref="F49:I49"/>
    <mergeCell ref="F50:I50"/>
    <mergeCell ref="A51:E51"/>
    <mergeCell ref="F51:I51"/>
    <mergeCell ref="F52:I52"/>
    <mergeCell ref="B61:D61"/>
    <mergeCell ref="F61:I61"/>
    <mergeCell ref="B62:D62"/>
    <mergeCell ref="F62:I62"/>
    <mergeCell ref="A63:I63"/>
    <mergeCell ref="A64:I64"/>
    <mergeCell ref="A57:E57"/>
    <mergeCell ref="F57:I57"/>
    <mergeCell ref="F58:I58"/>
    <mergeCell ref="A59:G59"/>
    <mergeCell ref="H59:I59"/>
    <mergeCell ref="H60:I60"/>
    <mergeCell ref="E71:I71"/>
    <mergeCell ref="A73:B73"/>
    <mergeCell ref="C73:I73"/>
    <mergeCell ref="C74:I74"/>
    <mergeCell ref="A76:B76"/>
    <mergeCell ref="C76:I76"/>
    <mergeCell ref="A65:I65"/>
    <mergeCell ref="A66:I66"/>
    <mergeCell ref="A67:I67"/>
    <mergeCell ref="A68:I68"/>
    <mergeCell ref="A70:D70"/>
    <mergeCell ref="E70:I70"/>
    <mergeCell ref="A84:I84"/>
    <mergeCell ref="A85:I85"/>
    <mergeCell ref="A87:B87"/>
    <mergeCell ref="C87:I87"/>
    <mergeCell ref="A88:I88"/>
    <mergeCell ref="A89:I89"/>
    <mergeCell ref="C77:I77"/>
    <mergeCell ref="C78:I78"/>
    <mergeCell ref="C79:I79"/>
    <mergeCell ref="C80:I80"/>
    <mergeCell ref="C81:I81"/>
    <mergeCell ref="A83:C83"/>
  </mergeCells>
  <dataValidations count="5">
    <dataValidation type="list" allowBlank="1" showInputMessage="1" showErrorMessage="1" sqref="B61:D61" xr:uid="{026A024C-4EBD-4D2D-B464-341711C86697}">
      <formula1>"допущена, не допущена"</formula1>
    </dataValidation>
    <dataValidation type="list" allowBlank="1" showInputMessage="1" showErrorMessage="1" sqref="H59:I59" xr:uid="{94DED169-8D61-476F-A1C3-888045968A0E}">
      <formula1>"пригодной, непригодной"</formula1>
    </dataValidation>
    <dataValidation type="list" allowBlank="1" showInputMessage="1" showErrorMessage="1" sqref="F49:I49" xr:uid="{9DA2D746-DFA1-4D4F-8DF4-9BF7EB33F15E}">
      <formula1>"соответствуют, не соотвествуют"</formula1>
    </dataValidation>
    <dataValidation type="list" allowBlank="1" showInputMessage="1" showErrorMessage="1" sqref="F51:I51 F53:I53 F55:I55" xr:uid="{1AE89594-18B3-42B3-98D9-DD9EDBBE8C37}">
      <formula1>"соответствует, не соотвествует"</formula1>
    </dataValidation>
    <dataValidation type="list" allowBlank="1" showInputMessage="1" showErrorMessage="1" sqref="F40:I40" xr:uid="{D4427B00-15ED-4F26-9F66-D4C877D89788}">
      <formula1>"выполнена, не выполнена"</formula1>
    </dataValidation>
  </dataValidations>
  <pageMargins left="0.25" right="0.25" top="0.75" bottom="0.75" header="0.3" footer="0.3"/>
  <pageSetup paperSize="9" orientation="portrait" r:id="rId1"/>
  <rowBreaks count="1" manualBreakCount="1">
    <brk id="39" max="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30"/>
  <sheetViews>
    <sheetView workbookViewId="0"/>
  </sheetViews>
  <sheetFormatPr defaultColWidth="11.44140625" defaultRowHeight="14.4" x14ac:dyDescent="0.3"/>
  <cols>
    <col min="1" max="1" width="11.44140625" style="40"/>
  </cols>
  <sheetData>
    <row r="1" spans="1:20" s="37" customFormat="1" ht="30" customHeight="1" x14ac:dyDescent="0.3">
      <c r="A1" s="36">
        <v>1</v>
      </c>
      <c r="B1" s="214" t="s">
        <v>114</v>
      </c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</row>
    <row r="2" spans="1:20" s="37" customFormat="1" ht="30" customHeight="1" x14ac:dyDescent="0.3">
      <c r="A2" s="36">
        <v>2</v>
      </c>
      <c r="B2" s="214" t="s">
        <v>115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</row>
    <row r="3" spans="1:20" s="37" customFormat="1" ht="41.25" customHeight="1" x14ac:dyDescent="0.3">
      <c r="A3" s="36">
        <v>3</v>
      </c>
      <c r="B3" s="213" t="s">
        <v>116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</row>
    <row r="4" spans="1:20" s="37" customFormat="1" ht="30" customHeight="1" x14ac:dyDescent="0.3">
      <c r="A4" s="36">
        <v>4</v>
      </c>
      <c r="B4" s="214" t="s">
        <v>117</v>
      </c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</row>
    <row r="5" spans="1:20" s="37" customFormat="1" ht="30" customHeight="1" x14ac:dyDescent="0.3">
      <c r="A5" s="36">
        <v>5</v>
      </c>
      <c r="B5" s="214" t="s">
        <v>118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</row>
    <row r="6" spans="1:20" s="37" customFormat="1" ht="60" customHeight="1" x14ac:dyDescent="0.3">
      <c r="A6" s="36">
        <v>6</v>
      </c>
      <c r="B6" s="213" t="s">
        <v>119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</row>
    <row r="7" spans="1:20" s="37" customFormat="1" ht="60" customHeight="1" x14ac:dyDescent="0.3">
      <c r="A7" s="36">
        <v>7</v>
      </c>
      <c r="B7" s="213" t="s">
        <v>120</v>
      </c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</row>
    <row r="8" spans="1:20" s="37" customFormat="1" ht="40.5" customHeight="1" x14ac:dyDescent="0.3">
      <c r="A8" s="36">
        <v>8</v>
      </c>
      <c r="B8" s="213" t="s">
        <v>121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</row>
    <row r="9" spans="1:20" s="37" customFormat="1" ht="30" customHeight="1" x14ac:dyDescent="0.3">
      <c r="A9" s="36">
        <v>9</v>
      </c>
      <c r="B9" s="213" t="s">
        <v>122</v>
      </c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</row>
    <row r="10" spans="1:20" s="37" customFormat="1" ht="30" customHeight="1" x14ac:dyDescent="0.3">
      <c r="A10" s="36">
        <v>10</v>
      </c>
      <c r="B10" s="213" t="s">
        <v>123</v>
      </c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</row>
    <row r="11" spans="1:20" s="37" customFormat="1" ht="30" customHeight="1" x14ac:dyDescent="0.3">
      <c r="A11" s="215" t="s">
        <v>124</v>
      </c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</row>
    <row r="12" spans="1:20" s="37" customFormat="1" ht="30" customHeight="1" x14ac:dyDescent="0.3">
      <c r="A12" s="36"/>
    </row>
    <row r="13" spans="1:20" s="37" customFormat="1" ht="30" customHeight="1" x14ac:dyDescent="0.3">
      <c r="A13" s="36"/>
    </row>
    <row r="14" spans="1:20" s="37" customFormat="1" ht="30" customHeight="1" x14ac:dyDescent="0.3">
      <c r="A14" s="36"/>
    </row>
    <row r="15" spans="1:20" s="37" customFormat="1" ht="30" customHeight="1" x14ac:dyDescent="0.3">
      <c r="A15" s="36"/>
    </row>
    <row r="16" spans="1:20" s="37" customFormat="1" ht="30" customHeight="1" x14ac:dyDescent="0.3">
      <c r="A16" s="36"/>
    </row>
    <row r="17" spans="1:1" s="37" customFormat="1" ht="30" customHeight="1" x14ac:dyDescent="0.3">
      <c r="A17" s="36"/>
    </row>
    <row r="18" spans="1:1" s="37" customFormat="1" ht="30" customHeight="1" x14ac:dyDescent="0.3">
      <c r="A18" s="36"/>
    </row>
    <row r="19" spans="1:1" s="37" customFormat="1" ht="30" customHeight="1" x14ac:dyDescent="0.3">
      <c r="A19" s="36"/>
    </row>
    <row r="20" spans="1:1" s="37" customFormat="1" ht="30" customHeight="1" x14ac:dyDescent="0.3">
      <c r="A20" s="36"/>
    </row>
    <row r="21" spans="1:1" s="37" customFormat="1" ht="30" customHeight="1" x14ac:dyDescent="0.3">
      <c r="A21" s="36"/>
    </row>
    <row r="22" spans="1:1" s="37" customFormat="1" ht="30" customHeight="1" x14ac:dyDescent="0.3">
      <c r="A22" s="36"/>
    </row>
    <row r="23" spans="1:1" s="37" customFormat="1" ht="30" customHeight="1" x14ac:dyDescent="0.3">
      <c r="A23" s="36"/>
    </row>
    <row r="24" spans="1:1" s="37" customFormat="1" ht="30" customHeight="1" x14ac:dyDescent="0.3">
      <c r="A24" s="36"/>
    </row>
    <row r="25" spans="1:1" s="39" customFormat="1" ht="30" customHeight="1" x14ac:dyDescent="0.35">
      <c r="A25" s="38"/>
    </row>
    <row r="26" spans="1:1" s="39" customFormat="1" ht="30" customHeight="1" x14ac:dyDescent="0.35">
      <c r="A26" s="38"/>
    </row>
    <row r="27" spans="1:1" s="39" customFormat="1" ht="30" customHeight="1" x14ac:dyDescent="0.35">
      <c r="A27" s="38"/>
    </row>
    <row r="28" spans="1:1" s="39" customFormat="1" ht="30" customHeight="1" x14ac:dyDescent="0.35">
      <c r="A28" s="38"/>
    </row>
    <row r="29" spans="1:1" s="39" customFormat="1" ht="30" customHeight="1" x14ac:dyDescent="0.35">
      <c r="A29" s="38"/>
    </row>
    <row r="30" spans="1:1" s="39" customFormat="1" ht="30" customHeight="1" x14ac:dyDescent="0.35">
      <c r="A30" s="38"/>
    </row>
  </sheetData>
  <mergeCells count="11">
    <mergeCell ref="B6:T6"/>
    <mergeCell ref="B1:T1"/>
    <mergeCell ref="B2:T2"/>
    <mergeCell ref="B3:T3"/>
    <mergeCell ref="B4:T4"/>
    <mergeCell ref="B5:T5"/>
    <mergeCell ref="B7:T7"/>
    <mergeCell ref="B8:T8"/>
    <mergeCell ref="B9:T9"/>
    <mergeCell ref="B10:T10"/>
    <mergeCell ref="A11:T1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ColWidth="11.44140625" defaultRowHeight="14.4" x14ac:dyDescent="0.3"/>
  <sheetData/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23</vt:i4>
      </vt:variant>
      <vt:variant>
        <vt:lpstr>Именованные диапазоны</vt:lpstr>
      </vt:variant>
      <vt:variant>
        <vt:i4>21</vt:i4>
      </vt:variant>
    </vt:vector>
  </HeadingPairs>
  <TitlesOfParts>
    <vt:vector size="44" baseType="lpstr">
      <vt:lpstr>ПОДПИСИ</vt:lpstr>
      <vt:lpstr>Лист1</vt:lpstr>
      <vt:lpstr>Титул </vt:lpstr>
      <vt:lpstr>Жвх.к</vt:lpstr>
      <vt:lpstr>Жвх.к (т)</vt:lpstr>
      <vt:lpstr>Форма журнала</vt:lpstr>
      <vt:lpstr>АВК 3</vt:lpstr>
      <vt:lpstr>Титул (СМР и Рек.)</vt:lpstr>
      <vt:lpstr>Лист регистрации АВК по спец.</vt:lpstr>
      <vt:lpstr>Лист регистрации АВК вне спец.</vt:lpstr>
      <vt:lpstr>АВК 4</vt:lpstr>
      <vt:lpstr>АВК 5</vt:lpstr>
      <vt:lpstr>АВК 7</vt:lpstr>
      <vt:lpstr>АВК 8</vt:lpstr>
      <vt:lpstr>АВК 10</vt:lpstr>
      <vt:lpstr>АВК 11</vt:lpstr>
      <vt:lpstr>АВК 12</vt:lpstr>
      <vt:lpstr>АВК 13</vt:lpstr>
      <vt:lpstr>АВК 14</vt:lpstr>
      <vt:lpstr>АВК 15</vt:lpstr>
      <vt:lpstr>АВК 16</vt:lpstr>
      <vt:lpstr>Заполнение</vt:lpstr>
      <vt:lpstr>Образец</vt:lpstr>
      <vt:lpstr>Жвх.к!Заголовки_для_печати</vt:lpstr>
      <vt:lpstr>'АВК 10'!Область_печати</vt:lpstr>
      <vt:lpstr>'АВК 11'!Область_печати</vt:lpstr>
      <vt:lpstr>'АВК 12'!Область_печати</vt:lpstr>
      <vt:lpstr>'АВК 13'!Область_печати</vt:lpstr>
      <vt:lpstr>'АВК 14'!Область_печати</vt:lpstr>
      <vt:lpstr>'АВК 15'!Область_печати</vt:lpstr>
      <vt:lpstr>'АВК 16'!Область_печати</vt:lpstr>
      <vt:lpstr>'АВК 3'!Область_печати</vt:lpstr>
      <vt:lpstr>'АВК 4'!Область_печати</vt:lpstr>
      <vt:lpstr>'АВК 5'!Область_печати</vt:lpstr>
      <vt:lpstr>'АВК 7'!Область_печати</vt:lpstr>
      <vt:lpstr>'АВК 8'!Область_печати</vt:lpstr>
      <vt:lpstr>Жвх.к!Область_печати</vt:lpstr>
      <vt:lpstr>'Жвх.к (т)'!Область_печати</vt:lpstr>
      <vt:lpstr>'Лист регистрации АВК вне спец.'!Область_печати</vt:lpstr>
      <vt:lpstr>'Лист регистрации АВК по спец.'!Область_печати</vt:lpstr>
      <vt:lpstr>ПОДПИСИ!Область_печати</vt:lpstr>
      <vt:lpstr>'Титул '!Область_печати</vt:lpstr>
      <vt:lpstr>'Титул (СМР и Рек.)'!Область_печати</vt:lpstr>
      <vt:lpstr>'Форма журнала'!Область_печати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Вл Лео</cp:lastModifiedBy>
  <cp:lastPrinted>2024-12-24T18:44:35Z</cp:lastPrinted>
  <dcterms:created xsi:type="dcterms:W3CDTF">2015-06-05T18:19:34Z</dcterms:created>
  <dcterms:modified xsi:type="dcterms:W3CDTF">2024-12-24T18:44:39Z</dcterms:modified>
</cp:coreProperties>
</file>